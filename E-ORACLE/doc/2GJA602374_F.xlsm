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PRSUN\Desktop\upload info\2021\8210000856\"/>
    </mc:Choice>
  </mc:AlternateContent>
  <xr:revisionPtr revIDLastSave="0" documentId="13_ncr:1_{414AA512-522D-49EB-9755-CF34211A04B1}" xr6:coauthVersionLast="45" xr6:coauthVersionMax="45" xr10:uidLastSave="{00000000-0000-0000-0000-000000000000}"/>
  <bookViews>
    <workbookView xWindow="28692" yWindow="-108" windowWidth="29016" windowHeight="15816" xr2:uid="{00000000-000D-0000-FFFF-FFFF00000000}"/>
  </bookViews>
  <sheets>
    <sheet name="Nuova TCL PASS" sheetId="1" r:id="rId1"/>
    <sheet name="Datasheet" sheetId="6" r:id="rId2"/>
    <sheet name="-" sheetId="3" r:id="rId3"/>
    <sheet name="Proprietà" sheetId="4" r:id="rId4"/>
    <sheet name="Impostazioni" sheetId="5" r:id="rId5"/>
  </sheets>
  <definedNames>
    <definedName name="_xlnm.Print_Area" localSheetId="0">'Nuova TCL PASS'!$B$2:$F$66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9" i="1" l="1"/>
  <c r="CZ16" i="6" l="1"/>
  <c r="CZ15" i="6"/>
  <c r="CW16" i="6"/>
  <c r="CW15" i="6"/>
  <c r="CQ16" i="6"/>
  <c r="CQ15" i="6"/>
  <c r="CN16" i="6"/>
  <c r="CN15" i="6"/>
  <c r="CH16" i="6"/>
  <c r="CH15" i="6"/>
  <c r="CE16" i="6"/>
  <c r="CE15" i="6"/>
  <c r="BV16" i="6"/>
  <c r="BV15" i="6"/>
  <c r="BY16" i="6"/>
  <c r="BY15" i="6"/>
  <c r="BP16" i="6"/>
  <c r="BP15" i="6"/>
  <c r="BM16" i="6"/>
  <c r="BM15" i="6"/>
  <c r="BG16" i="6"/>
  <c r="BG15" i="6"/>
  <c r="BD15" i="6"/>
  <c r="BD16" i="6"/>
  <c r="AU16" i="6"/>
  <c r="AU15" i="6"/>
  <c r="DC11" i="6" l="1"/>
  <c r="DC10" i="6"/>
  <c r="DC9" i="6"/>
  <c r="DC8" i="6"/>
  <c r="AF5" i="6" l="1"/>
  <c r="A10" i="6"/>
  <c r="A8" i="6"/>
  <c r="B7" i="6"/>
  <c r="B6" i="6"/>
  <c r="AC5" i="6"/>
  <c r="B5" i="6"/>
  <c r="AC4" i="6"/>
  <c r="AF4" i="6"/>
  <c r="A6" i="6" l="1"/>
  <c r="DF1" i="6"/>
  <c r="DF5" i="6" s="1"/>
  <c r="DE1" i="6"/>
  <c r="DD1" i="6"/>
  <c r="DC1" i="6"/>
  <c r="DC5" i="6" s="1"/>
  <c r="DB1" i="6"/>
  <c r="DA1" i="6"/>
  <c r="CZ1" i="6"/>
  <c r="CZ5" i="6" s="1"/>
  <c r="CY1" i="6"/>
  <c r="CX1" i="6"/>
  <c r="CW1" i="6"/>
  <c r="CW5" i="6" s="1"/>
  <c r="CV1" i="6"/>
  <c r="CU1" i="6"/>
  <c r="CT1" i="6"/>
  <c r="CT5" i="6" s="1"/>
  <c r="CS1" i="6"/>
  <c r="CR1" i="6"/>
  <c r="CQ1" i="6"/>
  <c r="CQ5" i="6" s="1"/>
  <c r="CP1" i="6"/>
  <c r="CO1" i="6"/>
  <c r="CN1" i="6"/>
  <c r="CN5" i="6" s="1"/>
  <c r="CM1" i="6"/>
  <c r="CL1" i="6"/>
  <c r="CK1" i="6"/>
  <c r="CK5" i="6" s="1"/>
  <c r="CJ1" i="6"/>
  <c r="CI1" i="6"/>
  <c r="CH1" i="6"/>
  <c r="CH5" i="6" s="1"/>
  <c r="CG1" i="6"/>
  <c r="CF1" i="6"/>
  <c r="CE1" i="6"/>
  <c r="CE5" i="6" s="1"/>
  <c r="CD1" i="6"/>
  <c r="CC1" i="6"/>
  <c r="CB1" i="6"/>
  <c r="CB5" i="6" s="1"/>
  <c r="CA1" i="6"/>
  <c r="BZ1" i="6"/>
  <c r="BY1" i="6"/>
  <c r="BY5" i="6" s="1"/>
  <c r="BX1" i="6"/>
  <c r="BW1" i="6"/>
  <c r="BV1" i="6"/>
  <c r="BV5" i="6" s="1"/>
  <c r="BU1" i="6"/>
  <c r="BT1" i="6"/>
  <c r="BS1" i="6"/>
  <c r="BS5" i="6" s="1"/>
  <c r="BR1" i="6"/>
  <c r="BQ1" i="6"/>
  <c r="BP1" i="6"/>
  <c r="BP5" i="6" s="1"/>
  <c r="BO1" i="6"/>
  <c r="BN1" i="6"/>
  <c r="BM1" i="6"/>
  <c r="BM5" i="6" s="1"/>
  <c r="BL1" i="6"/>
  <c r="BK1" i="6"/>
  <c r="BJ1" i="6"/>
  <c r="BJ5" i="6" s="1"/>
  <c r="BI1" i="6"/>
  <c r="BH1" i="6"/>
  <c r="BG1" i="6"/>
  <c r="BG5" i="6" s="1"/>
  <c r="BF1" i="6"/>
  <c r="BE1" i="6"/>
  <c r="BD1" i="6"/>
  <c r="BD5" i="6" s="1"/>
  <c r="BC1" i="6"/>
  <c r="BB1" i="6"/>
  <c r="BA1" i="6"/>
  <c r="BA5" i="6" s="1"/>
  <c r="AZ1" i="6"/>
  <c r="AY1" i="6"/>
  <c r="AX1" i="6"/>
  <c r="AX5" i="6" s="1"/>
  <c r="AW1" i="6"/>
  <c r="AV1" i="6"/>
  <c r="AU1" i="6"/>
  <c r="AU5" i="6" s="1"/>
  <c r="AT1" i="6"/>
  <c r="AS1" i="6"/>
  <c r="AR1" i="6"/>
  <c r="AR5" i="6" s="1"/>
  <c r="AQ1" i="6"/>
  <c r="AP1" i="6"/>
  <c r="AO1" i="6"/>
  <c r="AO5" i="6" s="1"/>
  <c r="AN1" i="6"/>
  <c r="AM1" i="6"/>
  <c r="AL1" i="6"/>
  <c r="AL5" i="6" s="1"/>
  <c r="AK1" i="6"/>
  <c r="AJ1" i="6"/>
  <c r="AI1" i="6"/>
  <c r="AI5" i="6" s="1"/>
  <c r="AH1" i="6"/>
  <c r="AA1" i="6"/>
  <c r="Z1" i="6"/>
  <c r="Z5" i="6" s="1"/>
  <c r="Y1" i="6"/>
  <c r="X1" i="6"/>
  <c r="W1" i="6"/>
  <c r="W5" i="6" s="1"/>
  <c r="V1" i="6"/>
  <c r="U1" i="6"/>
  <c r="T1" i="6"/>
  <c r="T5" i="6" s="1"/>
  <c r="S1" i="6"/>
  <c r="Q1" i="6"/>
  <c r="Q5" i="6" s="1"/>
  <c r="P1" i="6"/>
  <c r="O1" i="6"/>
  <c r="N1" i="6"/>
  <c r="N5" i="6" s="1"/>
  <c r="M1" i="6"/>
  <c r="L1" i="6"/>
  <c r="K1" i="6"/>
  <c r="K5" i="6" s="1"/>
  <c r="J1" i="6"/>
  <c r="I1" i="6"/>
  <c r="H1" i="6"/>
  <c r="H5" i="6" s="1"/>
  <c r="H4" i="6"/>
  <c r="BG4" i="6"/>
  <c r="AI4" i="6"/>
  <c r="DC4" i="6"/>
  <c r="W4" i="6"/>
  <c r="BJ4" i="6"/>
  <c r="AL4" i="6"/>
  <c r="CQ4" i="6"/>
  <c r="CN4" i="6"/>
  <c r="BA4" i="6"/>
  <c r="CK4" i="6"/>
  <c r="AR4" i="6"/>
  <c r="AU4" i="6"/>
  <c r="N4" i="6"/>
  <c r="CB4" i="6"/>
  <c r="BV4" i="6"/>
  <c r="BY4" i="6"/>
  <c r="CW4" i="6"/>
  <c r="K4" i="6"/>
  <c r="CZ4" i="6"/>
  <c r="BD4" i="6"/>
  <c r="DF4" i="6"/>
  <c r="CH4" i="6"/>
  <c r="CT4" i="6"/>
  <c r="BS4" i="6"/>
  <c r="BP4" i="6"/>
  <c r="AO4" i="6"/>
  <c r="Z4" i="6"/>
  <c r="BM4" i="6"/>
  <c r="AX4" i="6"/>
  <c r="Q4" i="6"/>
  <c r="CE4" i="6"/>
  <c r="T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Luca Locatelli</author>
    <author>Elisa Esposito</author>
  </authors>
  <commentList>
    <comment ref="E23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Prova di tenuta a pressione superiore rispetto alla nominale ( vedi giappone). Tutte prove non standard su richiesta del cliente
</t>
        </r>
      </text>
    </comment>
    <comment ref="E24" authorId="0" shapeId="0" xr:uid="{00000000-0006-0000-0000-000002000000}">
      <text>
        <r>
          <rPr>
            <sz val="9"/>
            <color indexed="81"/>
            <rFont val="Tahoma"/>
            <family val="2"/>
          </rPr>
          <t>Specificare se la tensione di prova è diversa dallo standard</t>
        </r>
      </text>
    </comment>
    <comment ref="E26" authorId="0" shapeId="0" xr:uid="{00000000-0006-0000-0000-000003000000}">
      <text>
        <r>
          <rPr>
            <sz val="9"/>
            <color indexed="81"/>
            <rFont val="Tahoma"/>
            <family val="2"/>
          </rPr>
          <t>Inserire se cliente richiede scariche parziali</t>
        </r>
      </text>
    </comment>
    <comment ref="E27" authorId="0" shapeId="0" xr:uid="{00000000-0006-0000-0000-000004000000}">
      <text>
        <r>
          <rPr>
            <sz val="9"/>
            <color indexed="81"/>
            <rFont val="Tahoma"/>
            <family val="2"/>
          </rPr>
          <t>test dielettrico con manovra del comando ( vedi union fenosa)</t>
        </r>
      </text>
    </comment>
    <comment ref="B28" authorId="1" shapeId="0" xr:uid="{00000000-0006-0000-0000-000005000000}">
      <text>
        <r>
          <rPr>
            <sz val="9"/>
            <color indexed="81"/>
            <rFont val="Tahoma"/>
            <family val="2"/>
          </rPr>
          <t xml:space="preserve">Comparti gas visibili da unifilare
</t>
        </r>
      </text>
    </comment>
    <comment ref="B29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 xml:space="preserve">numero totale di manodensostati
</t>
        </r>
      </text>
    </comment>
    <comment ref="E49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In caso di tensione differente da quelle proposte, compilare il campo sottostante.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53" authorId="1" shapeId="0" xr:uid="{00000000-0006-0000-0000-000008000000}">
      <text>
        <r>
          <rPr>
            <b/>
            <sz val="9"/>
            <color indexed="81"/>
            <rFont val="Tahoma"/>
            <family val="2"/>
          </rPr>
          <t>In caso di tensione differente da quelle proposte, compilare il campo sottostante.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<sst xmlns="http://schemas.openxmlformats.org/spreadsheetml/2006/main" count="758" uniqueCount="417">
  <si>
    <t>Tipo modulo / Module's type</t>
  </si>
  <si>
    <t>Unifilare / Single line diagram</t>
  </si>
  <si>
    <t>Singola Sbarra / Single Bus Bar</t>
  </si>
  <si>
    <t>Doppia Sbarra / Double Bus Bar</t>
  </si>
  <si>
    <t>Doppio Interruttore / Double Breaker</t>
  </si>
  <si>
    <t>Armadio Controllo / LCC</t>
  </si>
  <si>
    <t>Nome Progetto / Project Name</t>
  </si>
  <si>
    <t>Nazione / Country</t>
  </si>
  <si>
    <t>Note / Remarks</t>
  </si>
  <si>
    <t>Creepage distance / Bushings</t>
  </si>
  <si>
    <t>Trasformatori di Corrente / Current Transformers</t>
  </si>
  <si>
    <t>Trasformatori di Tensione / Voltage Transformers</t>
  </si>
  <si>
    <t>Comando Interruttore / CB drive</t>
  </si>
  <si>
    <t>Alimentaz. motore / Motor voltage</t>
  </si>
  <si>
    <t>Blocco mecc. interr chiuso /
Locking device with closed breaker</t>
  </si>
  <si>
    <t>Carpenteria / LCC structure</t>
  </si>
  <si>
    <t>Posizione armadio / LCC position:</t>
  </si>
  <si>
    <t>Targhe / Data plates</t>
  </si>
  <si>
    <t>DATA / DATE:</t>
  </si>
  <si>
    <t>standard M00 (L=76 mm, Ø=1 3/4 inch, Thread 12 UN-2A)</t>
  </si>
  <si>
    <t xml:space="preserve">Codoli / Terminal stud </t>
  </si>
  <si>
    <t>Morse / Clamps</t>
  </si>
  <si>
    <t>Alimentaz. circuiti anticondensa / 
Heaters' voltage</t>
  </si>
  <si>
    <t>Bobina a mancanza di tensione / 
0 Voltage  coil</t>
  </si>
  <si>
    <t>Convenzionale / Conventional</t>
  </si>
  <si>
    <t>Mobile / Mobile</t>
  </si>
  <si>
    <t>Sensore di Tensione Capacitivo / Capacitive Voltage sensor</t>
  </si>
  <si>
    <t>Altro / Other =</t>
  </si>
  <si>
    <t>110Vdc</t>
  </si>
  <si>
    <t>48Vdc</t>
  </si>
  <si>
    <t>125Vdc</t>
  </si>
  <si>
    <t>132Vdc</t>
  </si>
  <si>
    <t>Italiano / Italian</t>
  </si>
  <si>
    <t>Inglese / English</t>
  </si>
  <si>
    <t>Spagnolo / Spanish</t>
  </si>
  <si>
    <t>Tensione primaria(kV)</t>
  </si>
  <si>
    <t>Frequenza rete</t>
  </si>
  <si>
    <t>Configurazione</t>
  </si>
  <si>
    <t>Temp. Ambiente min.</t>
  </si>
  <si>
    <t>Tipo Bushing / Bushing type (kV)</t>
  </si>
  <si>
    <t>Comando Interruttore
Alimentaz. motore</t>
  </si>
  <si>
    <t>Comando Interruttore
Alimentaz. bobine interblocco</t>
  </si>
  <si>
    <t>Alimentaz. circuiti di controllo</t>
  </si>
  <si>
    <t>220Vdc</t>
  </si>
  <si>
    <t>Customer / Cliente</t>
  </si>
  <si>
    <t>N° Commessa / Order Nr
Riferimento ABB / ABB reference</t>
  </si>
  <si>
    <t xml:space="preserve">N° Commessa / Order Nr
Ordine cliente / Customer's reference </t>
  </si>
  <si>
    <t>72,5 kV</t>
  </si>
  <si>
    <t>100 kV</t>
  </si>
  <si>
    <t>123 kV</t>
  </si>
  <si>
    <t>145 kV</t>
  </si>
  <si>
    <t>170 kV</t>
  </si>
  <si>
    <t>245 kV</t>
  </si>
  <si>
    <t>420 kV</t>
  </si>
  <si>
    <t>50 Hz</t>
  </si>
  <si>
    <t>60 Hz</t>
  </si>
  <si>
    <t>16 2/3 Hz</t>
  </si>
  <si>
    <t>N° comparti gas / Nr of gas compartments</t>
  </si>
  <si>
    <t>Potere di interruzione nominale</t>
  </si>
  <si>
    <t>20 kA</t>
  </si>
  <si>
    <t>31.5 kA</t>
  </si>
  <si>
    <t>40 kA</t>
  </si>
  <si>
    <t>N/A</t>
  </si>
  <si>
    <t>Alimentaz. circuiti anticondensa</t>
  </si>
  <si>
    <t>Motor-Drive</t>
  </si>
  <si>
    <t>Alimentaz. Motore / 
Motor voltage</t>
  </si>
  <si>
    <t>Comandi sez.1
Alimentaz. Motore</t>
  </si>
  <si>
    <t>Comandi sez.1
Alimentaz. bobine interblocco</t>
  </si>
  <si>
    <t>Comandi sez.2
Alimentaz. Motore</t>
  </si>
  <si>
    <t>Comandi sez.2
Alimentaz. bobine interblocco</t>
  </si>
  <si>
    <t>Comandi sez.3
Alimentaz. Motore</t>
  </si>
  <si>
    <t>Comandi sez.3
Alimentaz. bobine interblocco</t>
  </si>
  <si>
    <t>Sezionatore 1</t>
  </si>
  <si>
    <t>Sezionatore 2</t>
  </si>
  <si>
    <t>Sezionatore 3</t>
  </si>
  <si>
    <t>posteriore SBB</t>
  </si>
  <si>
    <t>laterale</t>
  </si>
  <si>
    <t>posteriore DBB</t>
  </si>
  <si>
    <t>interno camera rotante SBB</t>
  </si>
  <si>
    <t>Interno camera rotante DBB</t>
  </si>
  <si>
    <t>127Vdc</t>
  </si>
  <si>
    <t xml:space="preserve">Tipo modulo / Module's type </t>
  </si>
  <si>
    <t>PASS M0</t>
  </si>
  <si>
    <t>PASS M0S</t>
  </si>
  <si>
    <t>Primo interruttore</t>
  </si>
  <si>
    <t>Secondo interruttore
(solo per DBC)</t>
  </si>
  <si>
    <t>CREEPAGE DISTANCE TOT =</t>
  </si>
  <si>
    <t>Quota di installazione (m.s.l.m) / 
Installation's altitude (mt.a.s.l.)</t>
  </si>
  <si>
    <t>Posizione / Position</t>
  </si>
  <si>
    <t>NOTE / REMARKS :</t>
  </si>
  <si>
    <t>Corrente nominale</t>
  </si>
  <si>
    <t>1250 A</t>
  </si>
  <si>
    <t>1600 A</t>
  </si>
  <si>
    <t>2000 A</t>
  </si>
  <si>
    <t>2500 A</t>
  </si>
  <si>
    <t>3150 A</t>
  </si>
  <si>
    <t>5000 A</t>
  </si>
  <si>
    <t>6300 A</t>
  </si>
  <si>
    <t>4000 A</t>
  </si>
  <si>
    <t>YES</t>
  </si>
  <si>
    <t>NO</t>
  </si>
  <si>
    <t>Risposta</t>
  </si>
  <si>
    <t xml:space="preserve"> </t>
  </si>
  <si>
    <t>Comandi sezionatori / Disconnector's drive</t>
  </si>
  <si>
    <t>N° Precedente Commessa di riferimento / Previous Order Nr. reference</t>
  </si>
  <si>
    <t xml:space="preserve">Riferimento elenco pezzi precedente / Previous B.O.M. Reference </t>
  </si>
  <si>
    <t>PASS M00</t>
  </si>
  <si>
    <t>362 kV</t>
  </si>
  <si>
    <t>Portoghese / Portuguese</t>
  </si>
  <si>
    <t>Tedesco / German</t>
  </si>
  <si>
    <t>Polacco / Polish</t>
  </si>
  <si>
    <t>Rumeno / Romanian</t>
  </si>
  <si>
    <t>Russo / Russian</t>
  </si>
  <si>
    <t>Ceco / Czech</t>
  </si>
  <si>
    <t>Croato / Croatian</t>
  </si>
  <si>
    <t>Francese / French</t>
  </si>
  <si>
    <t>Brasiliano / Brazilian</t>
  </si>
  <si>
    <t>Verniciatura fusioni / 
Castings' painting</t>
  </si>
  <si>
    <t>Note tipo Bushing / Bushing type remarks</t>
  </si>
  <si>
    <t>Severità condizioni ambientali / 
Harsh environment</t>
  </si>
  <si>
    <t>Marino / 
Marine</t>
  </si>
  <si>
    <t>Geotermico / 
Geothermal</t>
  </si>
  <si>
    <t>Tropicale /
Tropical</t>
  </si>
  <si>
    <t>Severità condizioni di carico / 
Heavy load conditions</t>
  </si>
  <si>
    <t>Velocità del vento / 
Wind speed</t>
  </si>
  <si>
    <t>Altro / Other:</t>
  </si>
  <si>
    <t>Norma sismica</t>
  </si>
  <si>
    <t>Norma  velocità del vento</t>
  </si>
  <si>
    <t>IEC 62271-300 (0,5g)</t>
  </si>
  <si>
    <t>RAL</t>
  </si>
  <si>
    <t>Technical Checklist: PASS M00 - M0 - M0S</t>
  </si>
  <si>
    <t>PASS M0 RC</t>
  </si>
  <si>
    <t>Monofase / Single Phase</t>
  </si>
  <si>
    <t>Bifase / Two-Phase</t>
  </si>
  <si>
    <t>Trifase / Three-Phase</t>
  </si>
  <si>
    <t>Numero di fasi / Phases number</t>
  </si>
  <si>
    <t>Tipo sottostazione / Substation Type</t>
  </si>
  <si>
    <t>Tipo sottostazione / Substation</t>
  </si>
  <si>
    <t>Esterno / Outdoor</t>
  </si>
  <si>
    <t>Interno / Indoor</t>
  </si>
  <si>
    <t xml:space="preserve">Uscita cavo / Cable end </t>
  </si>
  <si>
    <t>Plug-in</t>
  </si>
  <si>
    <t>Traditional - Dry Type</t>
  </si>
  <si>
    <t>Traditional - Fluid filled</t>
  </si>
  <si>
    <t>Standard IEC</t>
  </si>
  <si>
    <t>Other:</t>
  </si>
  <si>
    <t>Numero manodensostati</t>
  </si>
  <si>
    <t xml:space="preserve">Min  [°C]       </t>
  </si>
  <si>
    <t>Max [°C]</t>
  </si>
  <si>
    <t>standard M0 / M0S (L=110mm, Ø=40mm)</t>
  </si>
  <si>
    <t>Spring-Drive</t>
  </si>
  <si>
    <t>Sfasatore meccanico / 
Mechanical phase shifter</t>
  </si>
  <si>
    <t>N° contatti ausiliari normalmente aperti /
Nr. normally open aux. contact</t>
  </si>
  <si>
    <t>N° contatti ausiliari normalmente chiusi /
Nr. Normally closed aux. contact</t>
  </si>
  <si>
    <t>IP44 (Standard)</t>
  </si>
  <si>
    <t>Grado protezione armadio</t>
  </si>
  <si>
    <t>Posizione armadio</t>
  </si>
  <si>
    <t>Stand Alone</t>
  </si>
  <si>
    <t>Supporto PASS / PASS Structure</t>
  </si>
  <si>
    <t>IEC 60721-2-2 (34m/s)</t>
  </si>
  <si>
    <t>Verniciatura Fusioni</t>
  </si>
  <si>
    <t>RAL 7035</t>
  </si>
  <si>
    <t>'Sinottico a tessere / Tile mimic</t>
  </si>
  <si>
    <t>Note su posizione/distanza
Remarks about position/distance:</t>
  </si>
  <si>
    <t>+40</t>
  </si>
  <si>
    <t>+45</t>
  </si>
  <si>
    <t>+50</t>
  </si>
  <si>
    <t>+55</t>
  </si>
  <si>
    <t>Altezza minima parte attiva
Live parts minimum height</t>
  </si>
  <si>
    <t>MENU' A TENDINA! COMPILARE!</t>
  </si>
  <si>
    <t>Alimentaz. circuiti ausiliari / 
Auxiliary circuits' voltage</t>
  </si>
  <si>
    <t>Tensione primaria / Nominal voltage</t>
  </si>
  <si>
    <t>Frequenza rete / Power grid frequency</t>
  </si>
  <si>
    <t>Corrente nominale / Rated current</t>
  </si>
  <si>
    <t>Potere di interruzione nominale
Rated breaking capacity</t>
  </si>
  <si>
    <t>Temperatura ambiente / 
Ambient temperature</t>
  </si>
  <si>
    <t>Pulsanti ap/ch mecc. CB / 
CB push Buttons for mech. closing/opening</t>
  </si>
  <si>
    <t>Grado di protezione armadio / 
IP value :</t>
  </si>
  <si>
    <t>Parti di ricambio / Spare parts</t>
  </si>
  <si>
    <t>YES (See P.O.)</t>
  </si>
  <si>
    <t>YES (See B.O.M. attached)</t>
  </si>
  <si>
    <t>PUNTO COMPLETEZZA</t>
  </si>
  <si>
    <t>PUNTO TA e TV</t>
  </si>
  <si>
    <t>Nessuna specifica cliente - prevale offerta tecnica in accordo a standard ABB / No client specification - technical offer prevails as per ABB std.</t>
  </si>
  <si>
    <t>Specifica cliente presente - Prevale Lista di deviazioni/offerta tecnica fornita // Client specification available - List of deviations/supplied technical offer prevails</t>
  </si>
  <si>
    <t>Prevale specifica cliente- Nessuna deviazione fatta // Client specification prevails - no deviation done</t>
  </si>
  <si>
    <t>Non è chiaro se prevale offerta tecnica o specifica // Not clear whether technical offer or specification prevails</t>
  </si>
  <si>
    <t>Prevale specifica cliente -  Nessuna deviazione neccessaria // Client technical specification prevails - No deviation needed</t>
  </si>
  <si>
    <t>Other / Altro:</t>
  </si>
  <si>
    <t>Punto allineamento specifica tecnica cliente</t>
  </si>
  <si>
    <t>2GJA602374</t>
  </si>
  <si>
    <t>XY</t>
  </si>
  <si>
    <t>XY2</t>
  </si>
  <si>
    <t>Numero</t>
  </si>
  <si>
    <t>PropEPL</t>
  </si>
  <si>
    <t>Descrizione</t>
  </si>
  <si>
    <t>Note</t>
  </si>
  <si>
    <t>Valore</t>
  </si>
  <si>
    <t>Valore standard</t>
  </si>
  <si>
    <t>op1</t>
  </si>
  <si>
    <t>op2</t>
  </si>
  <si>
    <t>op3</t>
  </si>
  <si>
    <t>CK</t>
  </si>
  <si>
    <t>N° Commessa / Order Nr</t>
  </si>
  <si>
    <t>Tipo modulo / Module's type (cella 1)</t>
  </si>
  <si>
    <t>Concatenare con 38</t>
  </si>
  <si>
    <t>Numero di Nuclei</t>
  </si>
  <si>
    <t>Numero Rapporti</t>
  </si>
  <si>
    <t>Verniciatura porta interna</t>
  </si>
  <si>
    <t>RAL 7030</t>
  </si>
  <si>
    <t>RAL 7032</t>
  </si>
  <si>
    <t>Note Particolari generali</t>
  </si>
  <si>
    <t>NESSUNA</t>
  </si>
  <si>
    <t>Marcatura Filo</t>
  </si>
  <si>
    <t>PROGRESSIVA</t>
  </si>
  <si>
    <t>INCROCIATA</t>
  </si>
  <si>
    <t>Cablaggio interno</t>
  </si>
  <si>
    <t>N07VK 450/750V</t>
  </si>
  <si>
    <t>HALOGEN FREE</t>
  </si>
  <si>
    <t>Colore fili cablaggio interno</t>
  </si>
  <si>
    <t>TUTTI I FILI DI CABLAGGIO SARANNO DI COLORE NERO</t>
  </si>
  <si>
    <t>Colore fili cablaggio interno terra</t>
  </si>
  <si>
    <t>I COLLEGAMENTI DI TERRA SARANNO DI COLORE GIALLO/VERDE</t>
  </si>
  <si>
    <t>Cavo esterno</t>
  </si>
  <si>
    <t>CAVO MULTIPOLARE LiCY-OZ UL/CSA APPROVATO</t>
  </si>
  <si>
    <t>FR3OH2R</t>
  </si>
  <si>
    <t>Colore cavi esterni</t>
  </si>
  <si>
    <t>NERO</t>
  </si>
  <si>
    <t>Note Particolari cablaggio</t>
  </si>
  <si>
    <t>Locking device</t>
  </si>
  <si>
    <t>CVS</t>
  </si>
  <si>
    <t>Numero comparti gas</t>
  </si>
  <si>
    <t>N° di manodensostati / N° of densimeters</t>
  </si>
  <si>
    <t>N° di sensori gas WIKA / N° of WIKA gas sensors</t>
  </si>
  <si>
    <t>Nome progetto EPLAN (da SAP)</t>
  </si>
  <si>
    <t>Percorso Progetto EPLAN</t>
  </si>
  <si>
    <t>Nazione</t>
  </si>
  <si>
    <t>Tipo modulo / Module's type (cella 2)</t>
  </si>
  <si>
    <t>Valore1</t>
  </si>
  <si>
    <t>Valore2</t>
  </si>
  <si>
    <t>Lingua Progetto</t>
  </si>
  <si>
    <t>ITALIANO / INGLESE</t>
  </si>
  <si>
    <t>ITALIANO / FRANCESE</t>
  </si>
  <si>
    <t>ITALIANO / SPAGNOLO</t>
  </si>
  <si>
    <t>ITALIANO / TEDESCO</t>
  </si>
  <si>
    <t>ITALIANO / RUSSO</t>
  </si>
  <si>
    <t>ITALIANO / PORTOGHESE</t>
  </si>
  <si>
    <t>INGLESE / TEDESCO</t>
  </si>
  <si>
    <t>INGLESE / SPAGNOLO</t>
  </si>
  <si>
    <t>INGLESE / RUSSO</t>
  </si>
  <si>
    <t>INGLESE / PORTOGHESE</t>
  </si>
  <si>
    <t>op4</t>
  </si>
  <si>
    <t>op5</t>
  </si>
  <si>
    <t>op6</t>
  </si>
  <si>
    <t>op7</t>
  </si>
  <si>
    <t>op8</t>
  </si>
  <si>
    <t>op9</t>
  </si>
  <si>
    <t>Tipo di comando</t>
  </si>
  <si>
    <t>Pulsante AP/CH meccanico</t>
  </si>
  <si>
    <t>Numero cont aux NA</t>
  </si>
  <si>
    <t>Numero cont aux NC</t>
  </si>
  <si>
    <t>Blocco meccanico 0 Voltage coil</t>
  </si>
  <si>
    <t>Numero di Attacchi</t>
  </si>
  <si>
    <t>Collegamenti rapporti TA</t>
  </si>
  <si>
    <t>MASSIMO RAPPORTO</t>
  </si>
  <si>
    <t>TUTTI</t>
  </si>
  <si>
    <t>Numero TV</t>
  </si>
  <si>
    <t>Numero Secondari</t>
  </si>
  <si>
    <t>Tipologia collegamento</t>
  </si>
  <si>
    <t>STELLA</t>
  </si>
  <si>
    <t>STELLA - STELLA</t>
  </si>
  <si>
    <t>STELLA - TRIANGOLO</t>
  </si>
  <si>
    <t>STELLA - STELLA - STELLA</t>
  </si>
  <si>
    <t>STELLA - STELLA - TRIANGOLO</t>
  </si>
  <si>
    <t>Posizioni comando</t>
  </si>
  <si>
    <t>Posizione comando 2</t>
  </si>
  <si>
    <t>A Mancanza / 0 voltage coil</t>
  </si>
  <si>
    <t>A lancio / launch coil</t>
  </si>
  <si>
    <t>No / No</t>
  </si>
  <si>
    <t>P:\TECNICO\EEC_One</t>
  </si>
  <si>
    <t>Tipo di installazione</t>
  </si>
  <si>
    <t>Condiziona la EPL19-20 - se 17 = CASSA 19 = Struttura di sostegno 20= Pressacavi in poliammide</t>
  </si>
  <si>
    <t>Fissaggio armadio</t>
  </si>
  <si>
    <t>Ingresso / Uscita cavi</t>
  </si>
  <si>
    <t>Verniciatura esterna</t>
  </si>
  <si>
    <t>Gestione discordanza poli</t>
  </si>
  <si>
    <t>Lunghezza cavi armadio</t>
  </si>
  <si>
    <t>PRESSACAVI IN POLIAMMIDE</t>
  </si>
  <si>
    <t>-</t>
  </si>
  <si>
    <t>STRUTTURA DI SOSTEGNO</t>
  </si>
  <si>
    <t>SI</t>
  </si>
  <si>
    <t>A PAVIMENTO</t>
  </si>
  <si>
    <t>EMC</t>
  </si>
  <si>
    <t>FONDO RIMOVIBILE</t>
  </si>
  <si>
    <t>PRESSACAVI IN OTTONE NICHELATO</t>
  </si>
  <si>
    <t>Sinottico a tessere</t>
  </si>
  <si>
    <t>Progetto Base EPLAN (Template)</t>
  </si>
  <si>
    <t>Percorso Progetto Base</t>
  </si>
  <si>
    <t>Inserire nome progetto Base</t>
  </si>
  <si>
    <t>Inserire percorso progetto Base senza "\" finale</t>
  </si>
  <si>
    <t>File Eseguibile EPLAN</t>
  </si>
  <si>
    <t>Inserire posizione e nome file eseguibile EPLAN</t>
  </si>
  <si>
    <t>Tipo Manodensostato</t>
  </si>
  <si>
    <t>ROYE</t>
  </si>
  <si>
    <t>TRAGAF</t>
  </si>
  <si>
    <t>TRAGAF CON NUM. STD ABB</t>
  </si>
  <si>
    <t>CAMI</t>
  </si>
  <si>
    <t>File Script scrittura proprietà EPLAN</t>
  </si>
  <si>
    <t>P:\TECNICO\EEC_One\Set_Properties_Project.cs</t>
  </si>
  <si>
    <t>Inserire posizione e nome file scrip per scrittura proprietà EPLAN</t>
  </si>
  <si>
    <t>unipolare (uno per polo) / single-pole (one per pole)</t>
  </si>
  <si>
    <t>tripolare (uno per tre poli) / three-pole (one per three poles)</t>
  </si>
  <si>
    <t>2 LINEA</t>
  </si>
  <si>
    <t>2 TERRA</t>
  </si>
  <si>
    <t>2 L1-L2</t>
  </si>
  <si>
    <t>3 COMBINATO</t>
  </si>
  <si>
    <t>3 L1-L2/TL1</t>
  </si>
  <si>
    <t>4 DBB CON TERRA</t>
  </si>
  <si>
    <t>4 DBB SENZA TERRA</t>
  </si>
  <si>
    <t>op10</t>
  </si>
  <si>
    <t>PASS MEB0</t>
  </si>
  <si>
    <t>Numero interruttori</t>
  </si>
  <si>
    <t>Numero sezionatori</t>
  </si>
  <si>
    <t>Motore potenziato</t>
  </si>
  <si>
    <t>calcolata</t>
  </si>
  <si>
    <t>5 M00/RC</t>
  </si>
  <si>
    <t>Orientamento Comando</t>
  </si>
  <si>
    <t>FRONTALE</t>
  </si>
  <si>
    <t>LATERALE</t>
  </si>
  <si>
    <t>Tipo di PASS</t>
  </si>
  <si>
    <t>ITEM - Interruttore</t>
  </si>
  <si>
    <t>ITEM - Sezionatore</t>
  </si>
  <si>
    <t>3 L1-L2/TL2</t>
  </si>
  <si>
    <t>4 L1-L2/TL1-TL2</t>
  </si>
  <si>
    <t>File Eseguibile Excel</t>
  </si>
  <si>
    <t>Inserire posizione e nome file eseguibile EXCEL</t>
  </si>
  <si>
    <t>Pos sez su autotrafo</t>
  </si>
  <si>
    <t>Fase 1</t>
  </si>
  <si>
    <t>Fase 2</t>
  </si>
  <si>
    <t>Fase 3</t>
  </si>
  <si>
    <t xml:space="preserve">Variabile interblocchi (mettere sempre a 1) </t>
  </si>
  <si>
    <t>SENZA 2° ELETTROMAGNETE</t>
  </si>
  <si>
    <t>CON 2° ELETTROMAGNETE</t>
  </si>
  <si>
    <t>N° moduli / nr of modules</t>
  </si>
  <si>
    <t>IP55</t>
  </si>
  <si>
    <t>Specifiche tecniche cliente
Customer specification</t>
  </si>
  <si>
    <t>Basic Insulation Level</t>
  </si>
  <si>
    <t>Sovrapressione</t>
  </si>
  <si>
    <t>Se sì, specificare lista</t>
  </si>
  <si>
    <t>Revisione documento / revision</t>
  </si>
  <si>
    <t xml:space="preserve">Pulviscolo sabbioso
High sand dust </t>
  </si>
  <si>
    <t>Tensione di prova / Test voltage</t>
  </si>
  <si>
    <t>Scariche parziali / Partial Discharge</t>
  </si>
  <si>
    <t>Prova dinamica / Dynamic Test</t>
  </si>
  <si>
    <t>126 kV</t>
  </si>
  <si>
    <t>252 kV</t>
  </si>
  <si>
    <t>25 kA</t>
  </si>
  <si>
    <t>50 kA</t>
  </si>
  <si>
    <t>63 kA</t>
  </si>
  <si>
    <t xml:space="preserve">Other: </t>
  </si>
  <si>
    <t>-25</t>
  </si>
  <si>
    <t>+60</t>
  </si>
  <si>
    <t>43.3 mm/kV</t>
  </si>
  <si>
    <t>Creepage Distance</t>
  </si>
  <si>
    <t>53.7 mm/kV</t>
  </si>
  <si>
    <t>PASS M00H</t>
  </si>
  <si>
    <t>PASS M0H</t>
  </si>
  <si>
    <t>PASS M0H RC</t>
  </si>
  <si>
    <t>PASS MEB0 RC</t>
  </si>
  <si>
    <t>PASS MEB0H</t>
  </si>
  <si>
    <t>Tipo sezionatore / Disconnector's drive type</t>
  </si>
  <si>
    <t>Solo Apertura</t>
  </si>
  <si>
    <t>Apertura/Chiusura
(Solo Tripolari)</t>
  </si>
  <si>
    <t>No</t>
  </si>
  <si>
    <t>Bay Drive</t>
  </si>
  <si>
    <t>BES7</t>
  </si>
  <si>
    <t>Terza bobina di apertura /
Tirth opening coil</t>
  </si>
  <si>
    <t>Altezza TA</t>
  </si>
  <si>
    <t>IP65</t>
  </si>
  <si>
    <t>Acciaio verniciata RAL…. / RAL…. painted</t>
  </si>
  <si>
    <t>Norma sismica / 
Seismic standard</t>
  </si>
  <si>
    <t xml:space="preserve">Note / Remarks </t>
  </si>
  <si>
    <t>Temp. Ambiente max</t>
  </si>
  <si>
    <t>Frequenza</t>
  </si>
  <si>
    <t>Occupato per Alias Interuttore</t>
  </si>
  <si>
    <t>Occupato per Alias Sezionatore</t>
  </si>
  <si>
    <t>Firma / Signature ENG:</t>
  </si>
  <si>
    <t>Firma / Signature MS/PM:</t>
  </si>
  <si>
    <t>Base Progetto EEC One</t>
  </si>
  <si>
    <t>C:\Program Files\EPLAN\Platform\2.7.3\Bin\EPLAN.exe</t>
  </si>
  <si>
    <t>Acciaio zincato a caldo / hot dip galvanized</t>
  </si>
  <si>
    <t>Acciaio inox / stainless steel (Standard 304)</t>
  </si>
  <si>
    <t>Acciaio inox 316 / stainless steel 316</t>
  </si>
  <si>
    <t>Acciaio inox 316I / tainless steel 316I</t>
  </si>
  <si>
    <t>Acciaio inox 316L / stainless steel 316L</t>
  </si>
  <si>
    <t>Path Eseguibile EECOne</t>
  </si>
  <si>
    <t>Inserire file di lettura per eseguibile EECOne</t>
  </si>
  <si>
    <t>P:\TECNICO\EEC_One\Path_EEC_One.txt</t>
  </si>
  <si>
    <t>C:\Program Files (x86)\Microsoft Office\Root\Office16\EXCEL.EXE</t>
  </si>
  <si>
    <t>1</t>
  </si>
  <si>
    <t>220Vac 60 Hz</t>
  </si>
  <si>
    <t>p</t>
  </si>
  <si>
    <t>6</t>
  </si>
  <si>
    <t>220Vac 50 Hz</t>
  </si>
  <si>
    <t>230Vac 50 Hz</t>
  </si>
  <si>
    <t>P:\TECNICO\Electric P8\Progetti\ABB</t>
  </si>
  <si>
    <t>Rev. F del 17/02/2020</t>
  </si>
  <si>
    <t>Disponibile - qui allegato / Available - here attached</t>
  </si>
  <si>
    <t>Specifica disponibile - qui allegata/specificata // Specification available - here attached/specified</t>
  </si>
  <si>
    <t>&lt;1000 mt</t>
  </si>
  <si>
    <t>Specifica non disponibile / Specification not available</t>
  </si>
  <si>
    <t>ALBANESI</t>
  </si>
  <si>
    <t>RIO CUARTO</t>
  </si>
  <si>
    <t>secondo schema 2GJA317357revB</t>
  </si>
  <si>
    <t>ref schema 2GJA317357revB</t>
  </si>
  <si>
    <t>AR</t>
  </si>
  <si>
    <t>Layout di ref 2gja317365_A
Modulo Spare. Utilizzare stessa struttura di supporto.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</si>
</sst>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0"/>
      <name val="Arial"/>
    </font>
    <font>
      <b/>
      <sz val="10"/>
      <name val="Arial"/>
      <family val="2"/>
    </font>
    <font>
      <b/>
      <sz val="14"/>
      <name val="Arial"/>
      <family val="2"/>
    </font>
    <font>
      <b/>
      <sz val="26"/>
      <name val="Arial"/>
      <family val="2"/>
    </font>
    <font>
      <b/>
      <sz val="12"/>
      <color indexed="4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i/>
      <sz val="10"/>
      <color theme="3" tint="0.39997558519241921"/>
      <name val="Arial"/>
      <family val="2"/>
    </font>
    <font>
      <sz val="8"/>
      <color theme="1"/>
      <name val="Arial"/>
      <family val="2"/>
    </font>
    <font>
      <u/>
      <sz val="10"/>
      <name val="Arial"/>
      <family val="2"/>
    </font>
    <font>
      <b/>
      <sz val="12"/>
      <color theme="1"/>
      <name val="Arial"/>
      <family val="2"/>
    </font>
    <font>
      <b/>
      <sz val="12"/>
      <color rgb="FFFF0000"/>
      <name val="Arial"/>
      <family val="2"/>
    </font>
    <font>
      <sz val="12"/>
      <color rgb="FFFF0000"/>
      <name val="Arial"/>
      <family val="2"/>
    </font>
    <font>
      <sz val="9"/>
      <color indexed="81"/>
      <name val="Tahoma"/>
      <family val="2"/>
    </font>
    <font>
      <b/>
      <sz val="10"/>
      <color rgb="FFFF0000"/>
      <name val="Arial"/>
      <family val="2"/>
    </font>
    <font>
      <b/>
      <sz val="9"/>
      <color indexed="81"/>
      <name val="Tahoma"/>
      <family val="2"/>
    </font>
    <font>
      <i/>
      <u/>
      <sz val="10"/>
      <color theme="3" tint="0.3999755851924192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</fills>
  <borders count="5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8">
    <xf numFmtId="0" fontId="0" fillId="0" borderId="0" xfId="0"/>
    <xf numFmtId="0" fontId="0" fillId="0" borderId="0" xfId="0" applyAlignment="1" applyProtection="1">
      <alignment vertical="center"/>
    </xf>
    <xf numFmtId="0" fontId="0" fillId="0" borderId="0" xfId="0" applyFill="1" applyAlignment="1" applyProtection="1">
      <alignment vertical="center"/>
    </xf>
    <xf numFmtId="0" fontId="0" fillId="2" borderId="0" xfId="0" applyFill="1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0" xfId="0" applyBorder="1" applyAlignment="1" applyProtection="1">
      <alignment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center" vertical="center"/>
    </xf>
    <xf numFmtId="0" fontId="0" fillId="0" borderId="0" xfId="0" quotePrefix="1" applyAlignment="1" applyProtection="1">
      <alignment horizontal="center" vertical="center"/>
    </xf>
    <xf numFmtId="0" fontId="0" fillId="0" borderId="2" xfId="0" applyBorder="1" applyAlignment="1" applyProtection="1">
      <alignment vertical="center"/>
    </xf>
    <xf numFmtId="0" fontId="0" fillId="0" borderId="3" xfId="0" applyBorder="1" applyAlignment="1" applyProtection="1">
      <alignment vertical="center"/>
    </xf>
    <xf numFmtId="0" fontId="0" fillId="0" borderId="4" xfId="0" applyBorder="1" applyAlignment="1" applyProtection="1">
      <alignment vertical="center"/>
    </xf>
    <xf numFmtId="0" fontId="0" fillId="0" borderId="0" xfId="0" applyBorder="1" applyAlignment="1" applyProtection="1">
      <alignment horizontal="left" vertical="center"/>
    </xf>
    <xf numFmtId="0" fontId="1" fillId="0" borderId="0" xfId="0" applyFont="1" applyBorder="1" applyAlignment="1" applyProtection="1">
      <alignment horizontal="left" vertical="center"/>
    </xf>
    <xf numFmtId="0" fontId="0" fillId="0" borderId="0" xfId="0" applyFill="1" applyBorder="1" applyAlignment="1" applyProtection="1">
      <alignment vertical="center"/>
    </xf>
    <xf numFmtId="0" fontId="0" fillId="0" borderId="0" xfId="0" quotePrefix="1" applyBorder="1" applyAlignment="1" applyProtection="1">
      <alignment horizontal="left" vertical="center"/>
    </xf>
    <xf numFmtId="0" fontId="0" fillId="0" borderId="7" xfId="0" applyBorder="1" applyAlignment="1" applyProtection="1">
      <alignment vertical="center"/>
    </xf>
    <xf numFmtId="0" fontId="1" fillId="0" borderId="0" xfId="0" quotePrefix="1" applyFont="1" applyBorder="1" applyAlignment="1" applyProtection="1">
      <alignment horizontal="left" vertical="center"/>
    </xf>
    <xf numFmtId="0" fontId="0" fillId="0" borderId="0" xfId="0" applyAlignment="1" applyProtection="1">
      <alignment vertical="top"/>
    </xf>
    <xf numFmtId="0" fontId="0" fillId="0" borderId="0" xfId="0" applyAlignment="1" applyProtection="1">
      <alignment horizontal="center" vertical="top"/>
    </xf>
    <xf numFmtId="0" fontId="0" fillId="0" borderId="0" xfId="0" applyFill="1" applyAlignment="1" applyProtection="1">
      <alignment horizontal="center" vertical="top"/>
    </xf>
    <xf numFmtId="0" fontId="0" fillId="0" borderId="0" xfId="0" applyFill="1" applyAlignment="1" applyProtection="1">
      <alignment vertical="top"/>
    </xf>
    <xf numFmtId="0" fontId="1" fillId="0" borderId="0" xfId="0" quotePrefix="1" applyFont="1" applyBorder="1" applyAlignment="1" applyProtection="1">
      <alignment horizontal="left" vertical="top"/>
    </xf>
    <xf numFmtId="0" fontId="0" fillId="2" borderId="0" xfId="0" applyFill="1" applyAlignment="1" applyProtection="1">
      <alignment vertical="top"/>
    </xf>
    <xf numFmtId="0" fontId="4" fillId="3" borderId="9" xfId="0" quotePrefix="1" applyFont="1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7" xfId="0" applyBorder="1" applyAlignment="1" applyProtection="1">
      <alignment horizontal="center" vertical="center"/>
    </xf>
    <xf numFmtId="0" fontId="0" fillId="4" borderId="1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5" borderId="0" xfId="0" applyFill="1" applyAlignment="1" applyProtection="1">
      <alignment vertical="center"/>
      <protection locked="0"/>
    </xf>
    <xf numFmtId="0" fontId="0" fillId="5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  <protection locked="0"/>
    </xf>
    <xf numFmtId="0" fontId="0" fillId="6" borderId="0" xfId="0" applyFill="1" applyAlignment="1" applyProtection="1">
      <alignment horizontal="center" vertical="center" wrapText="1"/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5" fillId="0" borderId="3" xfId="0" quotePrefix="1" applyFont="1" applyBorder="1" applyAlignment="1" applyProtection="1">
      <alignment horizontal="center" wrapText="1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4" xfId="0" applyFill="1" applyBorder="1" applyAlignment="1" applyProtection="1">
      <alignment horizontal="center" vertical="center"/>
      <protection locked="0"/>
    </xf>
    <xf numFmtId="0" fontId="5" fillId="0" borderId="3" xfId="0" applyFont="1" applyFill="1" applyBorder="1" applyAlignment="1" applyProtection="1">
      <alignment horizontal="center" vertical="center" shrinkToFit="1"/>
      <protection locked="0"/>
    </xf>
    <xf numFmtId="0" fontId="5" fillId="0" borderId="3" xfId="0" quotePrefix="1" applyFont="1" applyBorder="1" applyAlignment="1" applyProtection="1">
      <alignment horizontal="center" vertical="center" wrapText="1"/>
      <protection locked="0"/>
    </xf>
    <xf numFmtId="0" fontId="5" fillId="0" borderId="3" xfId="0" quotePrefix="1" applyFont="1" applyBorder="1" applyAlignment="1" applyProtection="1">
      <alignment horizontal="center" vertical="center"/>
      <protection locked="0"/>
    </xf>
    <xf numFmtId="0" fontId="5" fillId="0" borderId="0" xfId="0" quotePrefix="1" applyFon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</xf>
    <xf numFmtId="0" fontId="5" fillId="0" borderId="6" xfId="0" quotePrefix="1" applyFont="1" applyBorder="1" applyAlignment="1" applyProtection="1">
      <alignment horizontal="center" vertical="center" wrapText="1"/>
      <protection locked="0"/>
    </xf>
    <xf numFmtId="12" fontId="5" fillId="0" borderId="6" xfId="0" applyNumberFormat="1" applyFont="1" applyBorder="1" applyAlignment="1" applyProtection="1">
      <alignment horizontal="center"/>
      <protection locked="0"/>
    </xf>
    <xf numFmtId="0" fontId="0" fillId="0" borderId="2" xfId="0" quotePrefix="1" applyBorder="1" applyAlignment="1" applyProtection="1">
      <alignment horizontal="left" vertical="center"/>
    </xf>
    <xf numFmtId="0" fontId="5" fillId="0" borderId="3" xfId="0" quotePrefix="1" applyFont="1" applyFill="1" applyBorder="1" applyAlignment="1" applyProtection="1">
      <alignment horizontal="center" vertical="center" shrinkToFit="1"/>
      <protection locked="0"/>
    </xf>
    <xf numFmtId="0" fontId="5" fillId="0" borderId="0" xfId="0" applyFont="1" applyAlignment="1" applyProtection="1">
      <alignment horizontal="center" vertical="center"/>
    </xf>
    <xf numFmtId="0" fontId="5" fillId="0" borderId="0" xfId="0" quotePrefix="1" applyFont="1" applyBorder="1" applyAlignment="1" applyProtection="1">
      <alignment vertical="center"/>
    </xf>
    <xf numFmtId="0" fontId="5" fillId="0" borderId="3" xfId="0" quotePrefix="1" applyFont="1" applyBorder="1" applyAlignment="1" applyProtection="1">
      <alignment vertical="center"/>
    </xf>
    <xf numFmtId="0" fontId="5" fillId="0" borderId="0" xfId="0" quotePrefix="1" applyFont="1" applyFill="1" applyBorder="1" applyAlignment="1" applyProtection="1">
      <alignment horizontal="center" vertical="center" shrinkToFit="1"/>
      <protection locked="0"/>
    </xf>
    <xf numFmtId="0" fontId="5" fillId="0" borderId="0" xfId="0" applyFont="1" applyBorder="1" applyAlignment="1" applyProtection="1">
      <alignment horizontal="center" vertical="center"/>
    </xf>
    <xf numFmtId="49" fontId="6" fillId="0" borderId="18" xfId="0" applyNumberFormat="1" applyFont="1" applyFill="1" applyBorder="1" applyAlignment="1" applyProtection="1">
      <alignment vertical="center"/>
      <protection locked="0"/>
    </xf>
    <xf numFmtId="49" fontId="6" fillId="0" borderId="19" xfId="0" applyNumberFormat="1" applyFont="1" applyFill="1" applyBorder="1" applyAlignment="1" applyProtection="1">
      <alignment vertical="center"/>
      <protection locked="0"/>
    </xf>
    <xf numFmtId="0" fontId="7" fillId="0" borderId="21" xfId="0" applyFont="1" applyBorder="1" applyAlignment="1" applyProtection="1">
      <alignment vertical="center"/>
      <protection locked="0"/>
    </xf>
    <xf numFmtId="0" fontId="7" fillId="0" borderId="20" xfId="0" applyFont="1" applyBorder="1" applyAlignment="1" applyProtection="1">
      <alignment vertical="center"/>
      <protection locked="0"/>
    </xf>
    <xf numFmtId="0" fontId="7" fillId="0" borderId="24" xfId="0" applyFont="1" applyBorder="1" applyAlignment="1" applyProtection="1">
      <alignment vertical="center"/>
      <protection locked="0"/>
    </xf>
    <xf numFmtId="0" fontId="7" fillId="0" borderId="22" xfId="0" applyFont="1" applyBorder="1" applyAlignment="1" applyProtection="1">
      <alignment horizontal="left" vertical="center"/>
      <protection locked="0"/>
    </xf>
    <xf numFmtId="0" fontId="7" fillId="0" borderId="19" xfId="0" applyFont="1" applyBorder="1" applyAlignment="1" applyProtection="1">
      <alignment horizontal="right" vertical="center"/>
    </xf>
    <xf numFmtId="49" fontId="6" fillId="0" borderId="20" xfId="0" applyNumberFormat="1" applyFont="1" applyFill="1" applyBorder="1" applyAlignment="1" applyProtection="1">
      <alignment vertical="center"/>
      <protection locked="0"/>
    </xf>
    <xf numFmtId="0" fontId="7" fillId="0" borderId="18" xfId="0" quotePrefix="1" applyFont="1" applyBorder="1" applyAlignment="1" applyProtection="1">
      <alignment horizontal="left" vertical="center" wrapText="1"/>
    </xf>
    <xf numFmtId="0" fontId="7" fillId="0" borderId="22" xfId="0" applyFont="1" applyBorder="1" applyAlignment="1" applyProtection="1">
      <alignment vertical="center"/>
      <protection locked="0"/>
    </xf>
    <xf numFmtId="0" fontId="6" fillId="0" borderId="23" xfId="0" applyFont="1" applyBorder="1" applyAlignment="1" applyProtection="1">
      <alignment vertical="top"/>
    </xf>
    <xf numFmtId="0" fontId="6" fillId="0" borderId="32" xfId="0" applyFont="1" applyBorder="1" applyAlignment="1" applyProtection="1">
      <alignment vertical="center"/>
    </xf>
    <xf numFmtId="0" fontId="7" fillId="0" borderId="31" xfId="0" applyFont="1" applyBorder="1" applyAlignment="1" applyProtection="1">
      <alignment horizontal="left" vertical="center"/>
      <protection locked="0"/>
    </xf>
    <xf numFmtId="49" fontId="6" fillId="0" borderId="33" xfId="0" applyNumberFormat="1" applyFont="1" applyFill="1" applyBorder="1" applyAlignment="1" applyProtection="1">
      <alignment vertical="center"/>
      <protection locked="0"/>
    </xf>
    <xf numFmtId="0" fontId="8" fillId="0" borderId="0" xfId="0" applyFont="1" applyAlignment="1" applyProtection="1">
      <alignment vertical="center"/>
    </xf>
    <xf numFmtId="0" fontId="8" fillId="0" borderId="0" xfId="0" applyFont="1" applyAlignment="1" applyProtection="1">
      <alignment horizontal="left" vertical="center"/>
    </xf>
    <xf numFmtId="0" fontId="8" fillId="0" borderId="0" xfId="0" applyFont="1" applyBorder="1" applyAlignment="1" applyProtection="1">
      <alignment horizontal="left" vertical="center"/>
    </xf>
    <xf numFmtId="0" fontId="8" fillId="0" borderId="0" xfId="0" applyFont="1" applyBorder="1" applyAlignment="1" applyProtection="1">
      <alignment horizontal="center" vertical="center"/>
    </xf>
    <xf numFmtId="0" fontId="8" fillId="0" borderId="0" xfId="0" applyFont="1"/>
    <xf numFmtId="0" fontId="9" fillId="0" borderId="0" xfId="0" applyFont="1" applyBorder="1" applyAlignment="1" applyProtection="1">
      <alignment horizontal="center" vertical="center"/>
    </xf>
    <xf numFmtId="0" fontId="9" fillId="0" borderId="0" xfId="0" applyFont="1" applyFill="1" applyAlignment="1" applyProtection="1">
      <alignment vertical="center"/>
    </xf>
    <xf numFmtId="0" fontId="9" fillId="2" borderId="0" xfId="0" applyFont="1" applyFill="1" applyAlignment="1" applyProtection="1">
      <alignment vertical="center"/>
    </xf>
    <xf numFmtId="0" fontId="9" fillId="0" borderId="0" xfId="0" applyFont="1" applyFill="1" applyAlignment="1" applyProtection="1">
      <alignment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8" borderId="14" xfId="0" applyFont="1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8" borderId="25" xfId="0" applyFont="1" applyFill="1" applyBorder="1" applyProtection="1">
      <protection locked="0"/>
    </xf>
    <xf numFmtId="0" fontId="9" fillId="0" borderId="8" xfId="0" applyFont="1" applyBorder="1" applyAlignment="1" applyProtection="1">
      <alignment vertical="center"/>
      <protection locked="0"/>
    </xf>
    <xf numFmtId="0" fontId="9" fillId="0" borderId="7" xfId="0" applyFont="1" applyBorder="1" applyAlignment="1" applyProtection="1">
      <alignment vertical="center"/>
      <protection locked="0"/>
    </xf>
    <xf numFmtId="0" fontId="9" fillId="8" borderId="34" xfId="0" applyFont="1" applyFill="1" applyBorder="1" applyProtection="1">
      <protection locked="0"/>
    </xf>
    <xf numFmtId="0" fontId="9" fillId="0" borderId="0" xfId="0" applyFont="1" applyAlignment="1" applyProtection="1">
      <alignment vertical="center"/>
    </xf>
    <xf numFmtId="0" fontId="9" fillId="8" borderId="16" xfId="0" applyFont="1" applyFill="1" applyBorder="1" applyProtection="1">
      <protection locked="0"/>
    </xf>
    <xf numFmtId="0" fontId="9" fillId="0" borderId="2" xfId="0" applyFont="1" applyBorder="1" applyAlignment="1" applyProtection="1">
      <alignment vertical="center"/>
      <protection locked="0"/>
    </xf>
    <xf numFmtId="0" fontId="9" fillId="0" borderId="0" xfId="0" applyFont="1" applyBorder="1" applyAlignment="1" applyProtection="1">
      <alignment vertical="center"/>
      <protection locked="0"/>
    </xf>
    <xf numFmtId="0" fontId="9" fillId="8" borderId="15" xfId="0" applyFont="1" applyFill="1" applyBorder="1" applyProtection="1">
      <protection locked="0"/>
    </xf>
    <xf numFmtId="0" fontId="9" fillId="8" borderId="0" xfId="0" applyFont="1" applyFill="1" applyBorder="1" applyProtection="1"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12" xfId="0" applyFont="1" applyBorder="1" applyAlignment="1" applyProtection="1">
      <alignment vertical="center"/>
      <protection locked="0"/>
    </xf>
    <xf numFmtId="0" fontId="9" fillId="8" borderId="6" xfId="0" applyFont="1" applyFill="1" applyBorder="1" applyProtection="1">
      <protection locked="0"/>
    </xf>
    <xf numFmtId="0" fontId="9" fillId="0" borderId="0" xfId="0" applyFont="1" applyBorder="1" applyAlignment="1" applyProtection="1">
      <alignment horizontal="left" vertical="center"/>
    </xf>
    <xf numFmtId="0" fontId="9" fillId="0" borderId="0" xfId="0" applyFont="1" applyAlignment="1" applyProtection="1">
      <alignment horizontal="center" vertical="center" shrinkToFit="1"/>
      <protection locked="0"/>
    </xf>
    <xf numFmtId="0" fontId="9" fillId="9" borderId="8" xfId="0" applyFont="1" applyFill="1" applyBorder="1" applyAlignment="1" applyProtection="1">
      <alignment horizontal="center" vertical="center"/>
      <protection locked="0"/>
    </xf>
    <xf numFmtId="0" fontId="9" fillId="9" borderId="22" xfId="0" applyFont="1" applyFill="1" applyBorder="1" applyAlignment="1" applyProtection="1">
      <alignment horizontal="center" vertical="center"/>
      <protection locked="0"/>
    </xf>
    <xf numFmtId="0" fontId="9" fillId="0" borderId="0" xfId="0" applyFont="1" applyFill="1" applyBorder="1" applyAlignment="1" applyProtection="1">
      <alignment horizontal="center" vertical="center"/>
      <protection locked="0"/>
    </xf>
    <xf numFmtId="0" fontId="9" fillId="0" borderId="0" xfId="0" quotePrefix="1" applyFont="1" applyAlignment="1" applyProtection="1">
      <alignment horizontal="center" vertical="center"/>
      <protection locked="0"/>
    </xf>
    <xf numFmtId="0" fontId="9" fillId="0" borderId="35" xfId="0" applyFont="1" applyFill="1" applyBorder="1" applyAlignment="1" applyProtection="1">
      <alignment horizontal="center" vertical="center" wrapText="1"/>
      <protection locked="0"/>
    </xf>
    <xf numFmtId="0" fontId="9" fillId="10" borderId="36" xfId="0" applyFont="1" applyFill="1" applyBorder="1" applyAlignment="1" applyProtection="1">
      <alignment vertical="center"/>
    </xf>
    <xf numFmtId="0" fontId="9" fillId="10" borderId="36" xfId="0" applyFont="1" applyFill="1" applyBorder="1" applyAlignment="1" applyProtection="1">
      <alignment vertical="center" wrapText="1"/>
    </xf>
    <xf numFmtId="0" fontId="9" fillId="4" borderId="10" xfId="0" applyFont="1" applyFill="1" applyBorder="1" applyAlignment="1" applyProtection="1">
      <alignment horizontal="center" vertical="center"/>
      <protection locked="0"/>
    </xf>
    <xf numFmtId="0" fontId="9" fillId="0" borderId="3" xfId="0" quotePrefix="1" applyFont="1" applyBorder="1" applyAlignment="1" applyProtection="1">
      <alignment horizontal="center" wrapText="1"/>
      <protection locked="0"/>
    </xf>
    <xf numFmtId="0" fontId="9" fillId="0" borderId="3" xfId="0" applyFont="1" applyFill="1" applyBorder="1" applyAlignment="1" applyProtection="1">
      <alignment horizontal="center" vertical="center" shrinkToFit="1"/>
      <protection locked="0"/>
    </xf>
    <xf numFmtId="0" fontId="9" fillId="4" borderId="2" xfId="0" applyFont="1" applyFill="1" applyBorder="1" applyAlignment="1" applyProtection="1">
      <alignment horizontal="center" vertical="center"/>
      <protection locked="0"/>
    </xf>
    <xf numFmtId="0" fontId="9" fillId="4" borderId="10" xfId="0" quotePrefix="1" applyFont="1" applyFill="1" applyBorder="1" applyAlignment="1" applyProtection="1">
      <alignment horizontal="center" vertical="center"/>
      <protection locked="0"/>
    </xf>
    <xf numFmtId="0" fontId="9" fillId="4" borderId="10" xfId="0" applyFont="1" applyFill="1" applyBorder="1" applyAlignment="1" applyProtection="1">
      <alignment vertical="center"/>
      <protection locked="0"/>
    </xf>
    <xf numFmtId="0" fontId="9" fillId="0" borderId="35" xfId="0" applyFont="1" applyBorder="1" applyAlignment="1">
      <alignment horizontal="right"/>
    </xf>
    <xf numFmtId="0" fontId="9" fillId="0" borderId="0" xfId="0" applyFont="1"/>
    <xf numFmtId="0" fontId="9" fillId="0" borderId="2" xfId="0" applyFont="1" applyFill="1" applyBorder="1" applyAlignment="1" applyProtection="1">
      <alignment horizontal="center" vertical="center"/>
      <protection locked="0"/>
    </xf>
    <xf numFmtId="0" fontId="9" fillId="0" borderId="3" xfId="0" quotePrefix="1" applyFont="1" applyBorder="1" applyAlignment="1" applyProtection="1">
      <alignment horizontal="center" vertical="center" wrapText="1"/>
      <protection locked="0"/>
    </xf>
    <xf numFmtId="0" fontId="9" fillId="0" borderId="0" xfId="0" applyFont="1" applyAlignment="1" applyProtection="1">
      <alignment horizontal="center"/>
      <protection locked="0"/>
    </xf>
    <xf numFmtId="0" fontId="9" fillId="0" borderId="2" xfId="0" applyFont="1" applyBorder="1" applyAlignment="1" applyProtection="1">
      <alignment horizontal="center" vertical="center"/>
      <protection locked="0"/>
    </xf>
    <xf numFmtId="0" fontId="9" fillId="0" borderId="0" xfId="0" quotePrefix="1" applyFont="1" applyBorder="1" applyAlignment="1" applyProtection="1">
      <alignment horizontal="center" vertical="center"/>
      <protection locked="0"/>
    </xf>
    <xf numFmtId="0" fontId="9" fillId="0" borderId="3" xfId="0" applyFont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center"/>
      <protection locked="0"/>
    </xf>
    <xf numFmtId="0" fontId="9" fillId="0" borderId="3" xfId="0" quotePrefix="1" applyFont="1" applyBorder="1" applyAlignment="1" applyProtection="1">
      <alignment horizontal="center" vertical="center"/>
      <protection locked="0"/>
    </xf>
    <xf numFmtId="0" fontId="9" fillId="0" borderId="2" xfId="0" applyFont="1" applyFill="1" applyBorder="1" applyAlignment="1" applyProtection="1">
      <alignment vertical="center"/>
      <protection locked="0"/>
    </xf>
    <xf numFmtId="0" fontId="9" fillId="0" borderId="3" xfId="0" applyFont="1" applyBorder="1" applyAlignment="1" applyProtection="1">
      <alignment horizontal="center" vertical="center"/>
      <protection locked="0"/>
    </xf>
    <xf numFmtId="0" fontId="9" fillId="0" borderId="3" xfId="0" applyFont="1" applyBorder="1" applyAlignment="1" applyProtection="1">
      <alignment horizontal="center" vertical="center" wrapText="1"/>
      <protection locked="0"/>
    </xf>
    <xf numFmtId="0" fontId="9" fillId="0" borderId="3" xfId="0" applyFont="1" applyBorder="1" applyAlignment="1" applyProtection="1">
      <alignment vertical="center"/>
      <protection locked="0"/>
    </xf>
    <xf numFmtId="0" fontId="9" fillId="0" borderId="3" xfId="0" applyFont="1" applyBorder="1" applyAlignment="1" applyProtection="1">
      <alignment horizontal="left" vertical="center"/>
      <protection locked="0"/>
    </xf>
    <xf numFmtId="0" fontId="9" fillId="0" borderId="0" xfId="0" applyFont="1" applyBorder="1" applyAlignment="1" applyProtection="1">
      <alignment horizontal="center" vertical="center"/>
      <protection locked="0"/>
    </xf>
    <xf numFmtId="0" fontId="9" fillId="0" borderId="3" xfId="0" quotePrefix="1" applyFont="1" applyFill="1" applyBorder="1" applyAlignment="1" applyProtection="1">
      <alignment horizontal="center" vertical="center" shrinkToFit="1"/>
      <protection locked="0"/>
    </xf>
    <xf numFmtId="0" fontId="9" fillId="0" borderId="3" xfId="0" applyFont="1" applyFill="1" applyBorder="1" applyAlignment="1" applyProtection="1">
      <alignment horizontal="left" vertical="center" shrinkToFit="1"/>
      <protection locked="0"/>
    </xf>
    <xf numFmtId="0" fontId="9" fillId="0" borderId="35" xfId="0" applyFont="1" applyBorder="1" applyAlignment="1" applyProtection="1">
      <alignment vertical="center"/>
      <protection locked="0"/>
    </xf>
    <xf numFmtId="0" fontId="9" fillId="0" borderId="35" xfId="0" applyFont="1" applyBorder="1" applyAlignment="1" applyProtection="1">
      <alignment horizontal="center" vertical="center"/>
      <protection locked="0"/>
    </xf>
    <xf numFmtId="0" fontId="9" fillId="0" borderId="37" xfId="0" applyFont="1" applyBorder="1" applyAlignment="1">
      <alignment horizontal="right"/>
    </xf>
    <xf numFmtId="0" fontId="9" fillId="0" borderId="0" xfId="0" applyFont="1" applyBorder="1" applyAlignment="1">
      <alignment horizontal="right"/>
    </xf>
    <xf numFmtId="0" fontId="9" fillId="0" borderId="6" xfId="0" applyFont="1" applyBorder="1" applyAlignment="1" applyProtection="1">
      <alignment horizontal="center" vertical="center"/>
      <protection locked="0"/>
    </xf>
    <xf numFmtId="0" fontId="9" fillId="0" borderId="2" xfId="0" quotePrefix="1" applyFont="1" applyFill="1" applyBorder="1" applyAlignment="1" applyProtection="1">
      <alignment horizontal="center" vertical="center"/>
      <protection locked="0"/>
    </xf>
    <xf numFmtId="0" fontId="9" fillId="0" borderId="6" xfId="0" quotePrefix="1" applyFont="1" applyBorder="1" applyAlignment="1" applyProtection="1">
      <alignment horizontal="center" vertical="center"/>
      <protection locked="0"/>
    </xf>
    <xf numFmtId="0" fontId="9" fillId="0" borderId="6" xfId="0" applyFont="1" applyBorder="1" applyAlignment="1" applyProtection="1">
      <alignment horizontal="center" vertical="center" wrapText="1"/>
      <protection locked="0"/>
    </xf>
    <xf numFmtId="0" fontId="9" fillId="0" borderId="0" xfId="0" applyFont="1" applyFill="1" applyBorder="1" applyAlignment="1" applyProtection="1">
      <alignment vertical="center"/>
      <protection locked="0"/>
    </xf>
    <xf numFmtId="0" fontId="9" fillId="0" borderId="4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9" fillId="0" borderId="2" xfId="0" applyFont="1" applyBorder="1" applyAlignment="1" applyProtection="1">
      <alignment horizontal="center" vertical="center" wrapText="1"/>
      <protection locked="0"/>
    </xf>
    <xf numFmtId="12" fontId="9" fillId="0" borderId="6" xfId="0" applyNumberFormat="1" applyFont="1" applyBorder="1" applyAlignment="1" applyProtection="1">
      <alignment horizontal="center"/>
      <protection locked="0"/>
    </xf>
    <xf numFmtId="18" fontId="9" fillId="0" borderId="3" xfId="0" applyNumberFormat="1" applyFont="1" applyBorder="1" applyAlignment="1" applyProtection="1">
      <alignment horizontal="center"/>
      <protection locked="0"/>
    </xf>
    <xf numFmtId="12" fontId="9" fillId="0" borderId="0" xfId="0" applyNumberFormat="1" applyFont="1" applyFill="1" applyBorder="1" applyAlignment="1" applyProtection="1">
      <alignment horizontal="center"/>
      <protection locked="0"/>
    </xf>
    <xf numFmtId="12" fontId="9" fillId="0" borderId="3" xfId="0" applyNumberFormat="1" applyFont="1" applyBorder="1" applyAlignment="1" applyProtection="1">
      <alignment horizontal="center"/>
      <protection locked="0"/>
    </xf>
    <xf numFmtId="0" fontId="9" fillId="0" borderId="7" xfId="0" applyFont="1" applyBorder="1" applyAlignment="1" applyProtection="1">
      <alignment vertical="center" wrapText="1"/>
      <protection locked="0"/>
    </xf>
    <xf numFmtId="0" fontId="9" fillId="0" borderId="7" xfId="0" applyFont="1" applyBorder="1" applyAlignment="1" applyProtection="1">
      <alignment horizontal="center" vertical="center"/>
      <protection locked="0"/>
    </xf>
    <xf numFmtId="0" fontId="9" fillId="0" borderId="0" xfId="0" quotePrefix="1" applyFont="1" applyBorder="1" applyAlignment="1" applyProtection="1">
      <alignment horizontal="center"/>
      <protection locked="0"/>
    </xf>
    <xf numFmtId="0" fontId="9" fillId="0" borderId="35" xfId="0" applyFont="1" applyFill="1" applyBorder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vertical="center" wrapText="1"/>
      <protection locked="0"/>
    </xf>
    <xf numFmtId="0" fontId="9" fillId="0" borderId="0" xfId="0" applyFont="1" applyBorder="1" applyAlignment="1" applyProtection="1">
      <alignment vertical="center"/>
    </xf>
    <xf numFmtId="0" fontId="9" fillId="0" borderId="0" xfId="0" applyFont="1" applyFill="1" applyAlignment="1" applyProtection="1">
      <alignment horizontal="center" vertical="center"/>
      <protection locked="0"/>
    </xf>
    <xf numFmtId="0" fontId="9" fillId="0" borderId="6" xfId="0" applyFont="1" applyFill="1" applyBorder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/>
      <protection locked="0"/>
    </xf>
    <xf numFmtId="0" fontId="9" fillId="0" borderId="0" xfId="0" quotePrefix="1" applyFont="1" applyBorder="1" applyAlignment="1" applyProtection="1">
      <alignment horizontal="left" vertical="center" wrapText="1"/>
      <protection locked="0"/>
    </xf>
    <xf numFmtId="0" fontId="9" fillId="0" borderId="6" xfId="0" applyFont="1" applyBorder="1" applyAlignment="1" applyProtection="1">
      <alignment vertical="center"/>
      <protection locked="0"/>
    </xf>
    <xf numFmtId="0" fontId="9" fillId="0" borderId="7" xfId="0" applyFont="1" applyFill="1" applyBorder="1" applyAlignment="1" applyProtection="1">
      <alignment horizontal="center" vertical="center"/>
      <protection locked="0"/>
    </xf>
    <xf numFmtId="0" fontId="9" fillId="0" borderId="4" xfId="0" applyFont="1" applyFill="1" applyBorder="1" applyAlignment="1" applyProtection="1">
      <alignment horizontal="center" vertical="center"/>
      <protection locked="0"/>
    </xf>
    <xf numFmtId="0" fontId="9" fillId="0" borderId="6" xfId="0" applyFont="1" applyBorder="1" applyAlignment="1" applyProtection="1">
      <alignment horizontal="left" vertical="center"/>
      <protection locked="0"/>
    </xf>
    <xf numFmtId="0" fontId="9" fillId="0" borderId="0" xfId="0" applyFont="1" applyFill="1" applyBorder="1" applyAlignment="1" applyProtection="1">
      <alignment vertical="center" wrapText="1"/>
      <protection locked="0"/>
    </xf>
    <xf numFmtId="0" fontId="9" fillId="0" borderId="2" xfId="0" applyFont="1" applyBorder="1" applyAlignment="1" applyProtection="1">
      <alignment vertical="center"/>
    </xf>
    <xf numFmtId="0" fontId="9" fillId="0" borderId="3" xfId="0" applyFont="1" applyBorder="1" applyAlignment="1" applyProtection="1">
      <alignment horizontal="center" vertical="center"/>
    </xf>
    <xf numFmtId="0" fontId="9" fillId="5" borderId="0" xfId="0" applyFont="1" applyFill="1" applyAlignment="1" applyProtection="1">
      <alignment vertical="center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9" fillId="6" borderId="0" xfId="0" applyFont="1" applyFill="1" applyAlignment="1" applyProtection="1">
      <alignment vertical="center"/>
      <protection locked="0"/>
    </xf>
    <xf numFmtId="0" fontId="9" fillId="6" borderId="0" xfId="0" applyFont="1" applyFill="1" applyAlignment="1" applyProtection="1">
      <alignment horizontal="center" vertical="center" wrapText="1"/>
      <protection locked="0"/>
    </xf>
    <xf numFmtId="0" fontId="9" fillId="0" borderId="4" xfId="0" applyFont="1" applyBorder="1" applyAlignment="1" applyProtection="1">
      <alignment vertical="center"/>
    </xf>
    <xf numFmtId="0" fontId="9" fillId="0" borderId="6" xfId="0" applyFont="1" applyBorder="1" applyAlignment="1" applyProtection="1">
      <alignment horizontal="center" vertical="center"/>
    </xf>
    <xf numFmtId="0" fontId="9" fillId="0" borderId="7" xfId="0" applyFont="1" applyBorder="1" applyAlignment="1" applyProtection="1">
      <alignment vertical="center"/>
    </xf>
    <xf numFmtId="0" fontId="9" fillId="0" borderId="36" xfId="0" quotePrefix="1" applyFont="1" applyBorder="1" applyAlignment="1" applyProtection="1">
      <alignment horizontal="center" wrapText="1"/>
      <protection locked="0"/>
    </xf>
    <xf numFmtId="0" fontId="9" fillId="0" borderId="0" xfId="0" applyFont="1" applyFill="1" applyAlignment="1" applyProtection="1">
      <alignment horizontal="center" vertical="center"/>
    </xf>
    <xf numFmtId="0" fontId="9" fillId="0" borderId="3" xfId="0" applyFont="1" applyBorder="1" applyAlignment="1" applyProtection="1">
      <alignment vertical="center"/>
    </xf>
    <xf numFmtId="0" fontId="9" fillId="0" borderId="35" xfId="0" applyFont="1" applyBorder="1" applyAlignment="1" applyProtection="1">
      <alignment vertical="center"/>
    </xf>
    <xf numFmtId="0" fontId="9" fillId="0" borderId="0" xfId="0" applyFont="1" applyFill="1" applyBorder="1" applyAlignment="1" applyProtection="1">
      <alignment vertical="center"/>
    </xf>
    <xf numFmtId="0" fontId="9" fillId="0" borderId="35" xfId="0" quotePrefix="1" applyFont="1" applyBorder="1" applyAlignment="1" applyProtection="1">
      <alignment horizontal="center" vertical="center" wrapText="1"/>
      <protection locked="0"/>
    </xf>
    <xf numFmtId="0" fontId="9" fillId="0" borderId="37" xfId="0" quotePrefix="1" applyFont="1" applyBorder="1" applyAlignment="1" applyProtection="1">
      <alignment horizontal="center" vertical="center"/>
      <protection locked="0"/>
    </xf>
    <xf numFmtId="0" fontId="9" fillId="0" borderId="32" xfId="0" applyFont="1" applyBorder="1" applyAlignment="1" applyProtection="1">
      <alignment horizontal="center" vertical="center"/>
    </xf>
    <xf numFmtId="0" fontId="9" fillId="0" borderId="7" xfId="0" quotePrefix="1" applyFont="1" applyBorder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 wrapText="1"/>
    </xf>
    <xf numFmtId="0" fontId="6" fillId="0" borderId="7" xfId="0" applyFont="1" applyBorder="1" applyAlignment="1" applyProtection="1">
      <alignment horizontal="right" vertical="center"/>
      <protection locked="0"/>
    </xf>
    <xf numFmtId="0" fontId="6" fillId="0" borderId="7" xfId="0" applyFont="1" applyBorder="1" applyAlignment="1" applyProtection="1">
      <alignment horizontal="left" vertical="center"/>
      <protection locked="0"/>
    </xf>
    <xf numFmtId="0" fontId="6" fillId="0" borderId="32" xfId="0" applyFont="1" applyBorder="1" applyAlignment="1" applyProtection="1">
      <alignment horizontal="right" vertical="center"/>
      <protection locked="0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0" borderId="0" xfId="0" applyAlignment="1">
      <alignment wrapText="1"/>
    </xf>
    <xf numFmtId="0" fontId="0" fillId="11" borderId="0" xfId="0" applyFill="1" applyAlignment="1">
      <alignment horizontal="center"/>
    </xf>
    <xf numFmtId="0" fontId="5" fillId="0" borderId="0" xfId="0" applyFont="1" applyAlignment="1">
      <alignment wrapText="1"/>
    </xf>
    <xf numFmtId="0" fontId="10" fillId="12" borderId="27" xfId="0" applyFont="1" applyFill="1" applyBorder="1"/>
    <xf numFmtId="0" fontId="2" fillId="12" borderId="27" xfId="0" applyFont="1" applyFill="1" applyBorder="1" applyAlignment="1">
      <alignment horizontal="center"/>
    </xf>
    <xf numFmtId="0" fontId="2" fillId="12" borderId="27" xfId="0" applyFont="1" applyFill="1" applyBorder="1"/>
    <xf numFmtId="0" fontId="2" fillId="12" borderId="27" xfId="0" applyFont="1" applyFill="1" applyBorder="1" applyAlignment="1">
      <alignment wrapText="1"/>
    </xf>
    <xf numFmtId="49" fontId="2" fillId="12" borderId="27" xfId="0" applyNumberFormat="1" applyFont="1" applyFill="1" applyBorder="1"/>
    <xf numFmtId="0" fontId="5" fillId="13" borderId="0" xfId="0" applyFont="1" applyFill="1"/>
    <xf numFmtId="0" fontId="5" fillId="13" borderId="0" xfId="0" quotePrefix="1" applyFont="1" applyFill="1"/>
    <xf numFmtId="0" fontId="0" fillId="13" borderId="0" xfId="0" applyFill="1"/>
    <xf numFmtId="0" fontId="0" fillId="0" borderId="0" xfId="0" applyFill="1" applyAlignment="1">
      <alignment horizontal="center"/>
    </xf>
    <xf numFmtId="0" fontId="0" fillId="0" borderId="0" xfId="0" applyFill="1"/>
    <xf numFmtId="0" fontId="5" fillId="0" borderId="0" xfId="0" applyFont="1" applyFill="1"/>
    <xf numFmtId="0" fontId="5" fillId="0" borderId="0" xfId="0" quotePrefix="1" applyFont="1" applyAlignment="1">
      <alignment wrapText="1"/>
    </xf>
    <xf numFmtId="0" fontId="0" fillId="0" borderId="0" xfId="0" applyAlignment="1">
      <alignment vertical="top" wrapText="1"/>
    </xf>
    <xf numFmtId="0" fontId="0" fillId="13" borderId="0" xfId="0" applyFont="1" applyFill="1"/>
    <xf numFmtId="0" fontId="1" fillId="0" borderId="0" xfId="0" applyFont="1"/>
    <xf numFmtId="0" fontId="11" fillId="0" borderId="0" xfId="0" applyFont="1"/>
    <xf numFmtId="49" fontId="5" fillId="14" borderId="0" xfId="0" applyNumberFormat="1" applyFont="1" applyFill="1" applyAlignment="1">
      <alignment wrapText="1"/>
    </xf>
    <xf numFmtId="49" fontId="2" fillId="12" borderId="27" xfId="0" applyNumberFormat="1" applyFont="1" applyFill="1" applyBorder="1" applyAlignment="1"/>
    <xf numFmtId="49" fontId="5" fillId="14" borderId="0" xfId="0" applyNumberFormat="1" applyFont="1" applyFill="1" applyAlignment="1"/>
    <xf numFmtId="49" fontId="0" fillId="14" borderId="0" xfId="0" applyNumberFormat="1" applyFill="1" applyAlignment="1"/>
    <xf numFmtId="49" fontId="0" fillId="15" borderId="0" xfId="0" applyNumberFormat="1" applyFill="1" applyAlignment="1"/>
    <xf numFmtId="49" fontId="0" fillId="0" borderId="0" xfId="0" applyNumberFormat="1" applyAlignment="1"/>
    <xf numFmtId="49" fontId="5" fillId="0" borderId="0" xfId="0" applyNumberFormat="1" applyFont="1" applyAlignment="1"/>
    <xf numFmtId="49" fontId="5" fillId="0" borderId="0" xfId="0" applyNumberFormat="1" applyFont="1" applyAlignment="1">
      <alignment wrapText="1"/>
    </xf>
    <xf numFmtId="0" fontId="5" fillId="13" borderId="0" xfId="0" applyFont="1" applyFill="1" applyAlignment="1">
      <alignment wrapText="1"/>
    </xf>
    <xf numFmtId="49" fontId="2" fillId="16" borderId="27" xfId="0" applyNumberFormat="1" applyFont="1" applyFill="1" applyBorder="1" applyAlignment="1"/>
    <xf numFmtId="0" fontId="0" fillId="0" borderId="0" xfId="0" quotePrefix="1" applyAlignment="1">
      <alignment horizontal="left"/>
    </xf>
    <xf numFmtId="49" fontId="0" fillId="0" borderId="0" xfId="0" quotePrefix="1" applyNumberFormat="1" applyAlignment="1"/>
    <xf numFmtId="0" fontId="0" fillId="0" borderId="0" xfId="0" applyAlignment="1">
      <alignment horizontal="left"/>
    </xf>
    <xf numFmtId="49" fontId="0" fillId="14" borderId="0" xfId="0" quotePrefix="1" applyNumberFormat="1" applyFill="1" applyAlignment="1"/>
    <xf numFmtId="0" fontId="13" fillId="0" borderId="0" xfId="0" applyFont="1"/>
    <xf numFmtId="0" fontId="7" fillId="0" borderId="20" xfId="0" applyFont="1" applyBorder="1" applyAlignment="1" applyProtection="1">
      <alignment horizontal="left" vertical="center"/>
      <protection locked="0"/>
    </xf>
    <xf numFmtId="0" fontId="15" fillId="3" borderId="5" xfId="0" quotePrefix="1" applyFont="1" applyFill="1" applyBorder="1" applyAlignment="1" applyProtection="1">
      <alignment horizontal="left" vertical="center"/>
    </xf>
    <xf numFmtId="0" fontId="6" fillId="3" borderId="5" xfId="0" quotePrefix="1" applyFont="1" applyFill="1" applyBorder="1" applyAlignment="1" applyProtection="1">
      <alignment horizontal="left" vertical="center"/>
    </xf>
    <xf numFmtId="0" fontId="7" fillId="0" borderId="21" xfId="0" applyFont="1" applyFill="1" applyBorder="1" applyAlignment="1" applyProtection="1">
      <alignment vertical="center" wrapText="1"/>
      <protection locked="0"/>
    </xf>
    <xf numFmtId="0" fontId="7" fillId="0" borderId="22" xfId="0" applyFont="1" applyFill="1" applyBorder="1" applyAlignment="1" applyProtection="1">
      <alignment vertical="center" wrapText="1"/>
      <protection locked="0"/>
    </xf>
    <xf numFmtId="0" fontId="6" fillId="3" borderId="5" xfId="0" quotePrefix="1" applyFont="1" applyFill="1" applyBorder="1" applyAlignment="1" applyProtection="1">
      <alignment horizontal="left" vertical="center" wrapText="1"/>
    </xf>
    <xf numFmtId="0" fontId="6" fillId="3" borderId="9" xfId="0" applyFont="1" applyFill="1" applyBorder="1" applyAlignment="1" applyProtection="1">
      <alignment horizontal="left" vertical="center"/>
    </xf>
    <xf numFmtId="0" fontId="6" fillId="3" borderId="9" xfId="0" applyFont="1" applyFill="1" applyBorder="1" applyAlignment="1" applyProtection="1">
      <alignment horizontal="left" vertical="center" wrapText="1"/>
    </xf>
    <xf numFmtId="0" fontId="6" fillId="3" borderId="2" xfId="0" quotePrefix="1" applyFont="1" applyFill="1" applyBorder="1" applyAlignment="1" applyProtection="1">
      <alignment horizontal="left" vertical="center" wrapText="1"/>
    </xf>
    <xf numFmtId="0" fontId="6" fillId="3" borderId="9" xfId="0" quotePrefix="1" applyFont="1" applyFill="1" applyBorder="1" applyAlignment="1" applyProtection="1">
      <alignment horizontal="left" vertical="center" wrapText="1"/>
    </xf>
    <xf numFmtId="0" fontId="6" fillId="3" borderId="8" xfId="0" applyFont="1" applyFill="1" applyBorder="1" applyAlignment="1" applyProtection="1">
      <alignment vertical="center"/>
    </xf>
    <xf numFmtId="0" fontId="7" fillId="0" borderId="3" xfId="0" applyFont="1" applyBorder="1" applyAlignment="1" applyProtection="1">
      <alignment vertical="top"/>
      <protection locked="0"/>
    </xf>
    <xf numFmtId="0" fontId="1" fillId="0" borderId="8" xfId="0" applyFont="1" applyFill="1" applyBorder="1" applyAlignment="1" applyProtection="1">
      <alignment vertical="center"/>
    </xf>
    <xf numFmtId="0" fontId="5" fillId="0" borderId="7" xfId="0" applyFont="1" applyFill="1" applyBorder="1" applyAlignment="1" applyProtection="1">
      <alignment vertical="center"/>
      <protection locked="0"/>
    </xf>
    <xf numFmtId="0" fontId="5" fillId="0" borderId="0" xfId="0" applyFont="1" applyFill="1" applyBorder="1" applyAlignment="1" applyProtection="1">
      <alignment vertical="center"/>
      <protection locked="0"/>
    </xf>
    <xf numFmtId="0" fontId="5" fillId="0" borderId="2" xfId="0" applyFont="1" applyFill="1" applyBorder="1" applyAlignment="1" applyProtection="1">
      <alignment vertical="center"/>
      <protection locked="0"/>
    </xf>
    <xf numFmtId="0" fontId="5" fillId="0" borderId="4" xfId="0" applyFont="1" applyFill="1" applyBorder="1" applyAlignment="1" applyProtection="1">
      <alignment vertical="center"/>
      <protection locked="0"/>
    </xf>
    <xf numFmtId="0" fontId="5" fillId="0" borderId="12" xfId="0" applyFont="1" applyFill="1" applyBorder="1" applyAlignment="1" applyProtection="1">
      <alignment vertical="center"/>
      <protection locked="0"/>
    </xf>
    <xf numFmtId="0" fontId="16" fillId="0" borderId="18" xfId="0" applyFont="1" applyFill="1" applyBorder="1" applyAlignment="1" applyProtection="1">
      <alignment horizontal="right" vertical="center" wrapText="1"/>
    </xf>
    <xf numFmtId="0" fontId="7" fillId="0" borderId="28" xfId="0" applyFont="1" applyFill="1" applyBorder="1" applyAlignment="1" applyProtection="1">
      <alignment vertical="center"/>
      <protection locked="0"/>
    </xf>
    <xf numFmtId="0" fontId="7" fillId="0" borderId="0" xfId="0" quotePrefix="1" applyFont="1" applyFill="1" applyBorder="1" applyAlignment="1" applyProtection="1">
      <alignment horizontal="right" vertical="center" wrapText="1"/>
    </xf>
    <xf numFmtId="0" fontId="7" fillId="0" borderId="0" xfId="0" quotePrefix="1" applyFont="1" applyFill="1" applyBorder="1" applyAlignment="1" applyProtection="1">
      <alignment horizontal="left" vertical="center" wrapText="1"/>
      <protection locked="0"/>
    </xf>
    <xf numFmtId="0" fontId="6" fillId="3" borderId="8" xfId="0" quotePrefix="1" applyFont="1" applyFill="1" applyBorder="1" applyAlignment="1" applyProtection="1">
      <alignment horizontal="left" vertical="center" wrapText="1"/>
    </xf>
    <xf numFmtId="0" fontId="9" fillId="9" borderId="0" xfId="0" applyFont="1" applyFill="1" applyBorder="1" applyAlignment="1" applyProtection="1">
      <alignment horizontal="center" vertical="center"/>
      <protection locked="0"/>
    </xf>
    <xf numFmtId="0" fontId="9" fillId="0" borderId="0" xfId="0" applyFont="1" applyFill="1" applyBorder="1" applyAlignment="1" applyProtection="1">
      <alignment horizontal="center" vertical="center" shrinkToFit="1"/>
      <protection locked="0"/>
    </xf>
    <xf numFmtId="0" fontId="9" fillId="0" borderId="0" xfId="0" quotePrefix="1" applyFont="1" applyFill="1" applyBorder="1" applyAlignment="1" applyProtection="1">
      <alignment horizontal="center" vertical="center" shrinkToFit="1"/>
      <protection locked="0"/>
    </xf>
    <xf numFmtId="49" fontId="6" fillId="0" borderId="22" xfId="0" applyNumberFormat="1" applyFont="1" applyFill="1" applyBorder="1" applyAlignment="1" applyProtection="1">
      <alignment vertical="center"/>
      <protection locked="0"/>
    </xf>
    <xf numFmtId="0" fontId="9" fillId="0" borderId="35" xfId="0" applyFont="1" applyBorder="1" applyAlignment="1">
      <alignment horizontal="right" wrapText="1"/>
    </xf>
    <xf numFmtId="0" fontId="0" fillId="0" borderId="37" xfId="0" applyBorder="1"/>
    <xf numFmtId="0" fontId="15" fillId="3" borderId="8" xfId="0" quotePrefix="1" applyFont="1" applyFill="1" applyBorder="1" applyAlignment="1" applyProtection="1">
      <alignment horizontal="left" vertical="center"/>
    </xf>
    <xf numFmtId="0" fontId="16" fillId="0" borderId="5" xfId="0" quotePrefix="1" applyFont="1" applyFill="1" applyBorder="1" applyAlignment="1" applyProtection="1">
      <alignment horizontal="right" vertical="center" wrapText="1"/>
    </xf>
    <xf numFmtId="0" fontId="7" fillId="0" borderId="20" xfId="0" applyFont="1" applyFill="1" applyBorder="1" applyAlignment="1" applyProtection="1">
      <alignment vertical="center"/>
      <protection locked="0"/>
    </xf>
    <xf numFmtId="0" fontId="16" fillId="0" borderId="5" xfId="0" applyFont="1" applyFill="1" applyBorder="1" applyAlignment="1" applyProtection="1">
      <alignment horizontal="right" vertical="center" wrapText="1"/>
    </xf>
    <xf numFmtId="0" fontId="15" fillId="3" borderId="20" xfId="0" quotePrefix="1" applyFont="1" applyFill="1" applyBorder="1" applyAlignment="1" applyProtection="1">
      <alignment horizontal="left" vertical="center"/>
    </xf>
    <xf numFmtId="0" fontId="7" fillId="0" borderId="20" xfId="0" quotePrefix="1" applyFont="1" applyFill="1" applyBorder="1" applyAlignment="1" applyProtection="1">
      <alignment horizontal="left" vertical="center" wrapText="1"/>
      <protection locked="0"/>
    </xf>
    <xf numFmtId="0" fontId="16" fillId="0" borderId="5" xfId="0" applyFont="1" applyFill="1" applyBorder="1" applyAlignment="1" applyProtection="1">
      <alignment horizontal="right" vertical="center" wrapText="1"/>
      <protection locked="0"/>
    </xf>
    <xf numFmtId="0" fontId="7" fillId="0" borderId="36" xfId="0" applyFont="1" applyFill="1" applyBorder="1" applyAlignment="1" applyProtection="1">
      <alignment vertical="center" wrapText="1"/>
      <protection locked="0"/>
    </xf>
    <xf numFmtId="0" fontId="16" fillId="0" borderId="0" xfId="0" quotePrefix="1" applyFont="1" applyFill="1" applyBorder="1" applyAlignment="1" applyProtection="1">
      <alignment horizontal="right" vertical="center"/>
    </xf>
    <xf numFmtId="49" fontId="6" fillId="0" borderId="10" xfId="0" applyNumberFormat="1" applyFont="1" applyFill="1" applyBorder="1" applyAlignment="1" applyProtection="1">
      <alignment vertical="center"/>
      <protection locked="0"/>
    </xf>
    <xf numFmtId="0" fontId="16" fillId="0" borderId="5" xfId="0" applyFont="1" applyFill="1" applyBorder="1" applyAlignment="1" applyProtection="1">
      <alignment horizontal="left" vertical="center"/>
    </xf>
    <xf numFmtId="49" fontId="1" fillId="0" borderId="20" xfId="0" applyNumberFormat="1" applyFont="1" applyFill="1" applyBorder="1" applyAlignment="1" applyProtection="1">
      <alignment vertical="center"/>
      <protection locked="0"/>
    </xf>
    <xf numFmtId="0" fontId="7" fillId="0" borderId="45" xfId="0" applyFont="1" applyFill="1" applyBorder="1" applyAlignment="1" applyProtection="1">
      <alignment vertical="center"/>
      <protection locked="0"/>
    </xf>
    <xf numFmtId="0" fontId="6" fillId="0" borderId="46" xfId="0" applyFont="1" applyFill="1" applyBorder="1" applyAlignment="1" applyProtection="1">
      <alignment horizontal="left" vertical="center" wrapText="1"/>
    </xf>
    <xf numFmtId="0" fontId="16" fillId="0" borderId="44" xfId="0" quotePrefix="1" applyFont="1" applyFill="1" applyBorder="1" applyAlignment="1" applyProtection="1">
      <alignment horizontal="right" vertical="center" wrapText="1"/>
    </xf>
    <xf numFmtId="0" fontId="16" fillId="0" borderId="5" xfId="0" quotePrefix="1" applyFont="1" applyFill="1" applyBorder="1" applyAlignment="1" applyProtection="1">
      <alignment horizontal="right" vertical="center"/>
    </xf>
    <xf numFmtId="0" fontId="16" fillId="0" borderId="5" xfId="0" applyFont="1" applyFill="1" applyBorder="1" applyAlignment="1" applyProtection="1">
      <alignment horizontal="right" vertical="center"/>
    </xf>
    <xf numFmtId="0" fontId="7" fillId="0" borderId="47" xfId="0" applyFont="1" applyBorder="1" applyAlignment="1" applyProtection="1">
      <alignment vertical="center"/>
      <protection locked="0"/>
    </xf>
    <xf numFmtId="49" fontId="6" fillId="0" borderId="39" xfId="0" applyNumberFormat="1" applyFont="1" applyFill="1" applyBorder="1" applyAlignment="1" applyProtection="1">
      <alignment horizontal="left" vertical="center"/>
      <protection locked="0"/>
    </xf>
    <xf numFmtId="0" fontId="6" fillId="0" borderId="5" xfId="0" applyFont="1" applyBorder="1" applyAlignment="1" applyProtection="1">
      <alignment horizontal="left" vertical="center"/>
    </xf>
    <xf numFmtId="0" fontId="7" fillId="0" borderId="5" xfId="0" applyFont="1" applyBorder="1" applyAlignment="1" applyProtection="1">
      <alignment vertical="center"/>
    </xf>
    <xf numFmtId="0" fontId="7" fillId="0" borderId="18" xfId="0" quotePrefix="1" applyFont="1" applyBorder="1" applyAlignment="1" applyProtection="1">
      <alignment horizontal="right" vertical="center"/>
    </xf>
    <xf numFmtId="0" fontId="7" fillId="0" borderId="4" xfId="0" applyFont="1" applyBorder="1" applyAlignment="1" applyProtection="1">
      <alignment vertical="center"/>
    </xf>
    <xf numFmtId="49" fontId="6" fillId="0" borderId="6" xfId="0" applyNumberFormat="1" applyFont="1" applyFill="1" applyBorder="1" applyAlignment="1" applyProtection="1">
      <alignment vertical="center"/>
      <protection locked="0"/>
    </xf>
    <xf numFmtId="49" fontId="6" fillId="0" borderId="32" xfId="0" applyNumberFormat="1" applyFont="1" applyFill="1" applyBorder="1" applyAlignment="1" applyProtection="1">
      <alignment vertical="center"/>
      <protection locked="0"/>
    </xf>
    <xf numFmtId="0" fontId="7" fillId="0" borderId="20" xfId="0" applyFont="1" applyBorder="1" applyAlignment="1" applyProtection="1">
      <protection locked="0"/>
    </xf>
    <xf numFmtId="0" fontId="6" fillId="0" borderId="5" xfId="0" applyFont="1" applyBorder="1" applyAlignment="1" applyProtection="1">
      <alignment vertical="center"/>
    </xf>
    <xf numFmtId="0" fontId="7" fillId="0" borderId="20" xfId="0" quotePrefix="1" applyFont="1" applyBorder="1" applyAlignment="1" applyProtection="1">
      <alignment horizontal="left" vertical="center"/>
      <protection locked="0"/>
    </xf>
    <xf numFmtId="0" fontId="6" fillId="0" borderId="6" xfId="0" applyFont="1" applyBorder="1" applyAlignment="1" applyProtection="1">
      <alignment vertical="center"/>
      <protection locked="0"/>
    </xf>
    <xf numFmtId="0" fontId="7" fillId="0" borderId="5" xfId="0" applyFont="1" applyBorder="1" applyAlignment="1" applyProtection="1">
      <alignment horizontal="right" vertical="center" wrapText="1"/>
    </xf>
    <xf numFmtId="0" fontId="6" fillId="0" borderId="20" xfId="0" applyFont="1" applyBorder="1" applyAlignment="1" applyProtection="1">
      <alignment vertical="center"/>
      <protection locked="0"/>
    </xf>
    <xf numFmtId="0" fontId="6" fillId="7" borderId="9" xfId="0" applyFont="1" applyFill="1" applyBorder="1" applyAlignment="1" applyProtection="1">
      <alignment horizontal="left" vertical="center" wrapText="1"/>
    </xf>
    <xf numFmtId="0" fontId="6" fillId="0" borderId="47" xfId="0" applyFont="1" applyBorder="1" applyAlignment="1" applyProtection="1">
      <alignment vertical="center"/>
      <protection locked="0"/>
    </xf>
    <xf numFmtId="0" fontId="6" fillId="7" borderId="9" xfId="0" applyFont="1" applyFill="1" applyBorder="1" applyAlignment="1" applyProtection="1">
      <alignment horizontal="left" vertical="center"/>
    </xf>
    <xf numFmtId="0" fontId="0" fillId="0" borderId="22" xfId="0" applyBorder="1" applyAlignment="1" applyProtection="1">
      <alignment vertical="center"/>
    </xf>
    <xf numFmtId="0" fontId="7" fillId="0" borderId="47" xfId="0" applyFont="1" applyBorder="1" applyAlignment="1" applyProtection="1">
      <alignment horizontal="left" vertical="center"/>
      <protection locked="0"/>
    </xf>
    <xf numFmtId="0" fontId="7" fillId="0" borderId="47" xfId="0" applyFont="1" applyBorder="1" applyAlignment="1" applyProtection="1">
      <alignment horizontal="left" vertical="center" wrapText="1"/>
      <protection locked="0"/>
    </xf>
    <xf numFmtId="0" fontId="2" fillId="0" borderId="8" xfId="0" applyFont="1" applyBorder="1" applyAlignment="1" applyProtection="1">
      <alignment vertical="center"/>
    </xf>
    <xf numFmtId="0" fontId="3" fillId="0" borderId="36" xfId="0" quotePrefix="1" applyFont="1" applyBorder="1" applyAlignment="1" applyProtection="1">
      <alignment horizontal="left" vertical="center"/>
    </xf>
    <xf numFmtId="0" fontId="6" fillId="7" borderId="5" xfId="0" applyFont="1" applyFill="1" applyBorder="1" applyAlignment="1" applyProtection="1">
      <alignment horizontal="left" vertical="center"/>
    </xf>
    <xf numFmtId="0" fontId="6" fillId="7" borderId="48" xfId="0" applyFont="1" applyFill="1" applyBorder="1" applyAlignment="1" applyProtection="1">
      <alignment horizontal="left" vertical="center" wrapText="1"/>
    </xf>
    <xf numFmtId="0" fontId="6" fillId="0" borderId="8" xfId="0" applyFont="1" applyBorder="1" applyAlignment="1" applyProtection="1">
      <alignment horizontal="left" vertical="center"/>
    </xf>
    <xf numFmtId="0" fontId="0" fillId="0" borderId="22" xfId="0" applyBorder="1" applyAlignment="1" applyProtection="1">
      <alignment vertical="center"/>
      <protection locked="0"/>
    </xf>
    <xf numFmtId="0" fontId="6" fillId="3" borderId="4" xfId="0" quotePrefix="1" applyFont="1" applyFill="1" applyBorder="1" applyAlignment="1" applyProtection="1">
      <alignment horizontal="left" vertical="center"/>
    </xf>
    <xf numFmtId="49" fontId="6" fillId="0" borderId="41" xfId="0" applyNumberFormat="1" applyFont="1" applyFill="1" applyBorder="1" applyAlignment="1" applyProtection="1">
      <alignment vertical="center"/>
      <protection locked="0"/>
    </xf>
    <xf numFmtId="0" fontId="16" fillId="0" borderId="17" xfId="0" applyFont="1" applyFill="1" applyBorder="1" applyAlignment="1" applyProtection="1">
      <alignment horizontal="right" vertical="center" wrapText="1"/>
    </xf>
    <xf numFmtId="0" fontId="7" fillId="0" borderId="26" xfId="0" applyFont="1" applyFill="1" applyBorder="1" applyAlignment="1" applyProtection="1">
      <alignment vertical="center" wrapText="1"/>
      <protection locked="0"/>
    </xf>
    <xf numFmtId="0" fontId="7" fillId="0" borderId="40" xfId="0" applyFont="1" applyFill="1" applyBorder="1" applyAlignment="1" applyProtection="1">
      <alignment vertical="center" wrapText="1"/>
      <protection locked="0"/>
    </xf>
    <xf numFmtId="0" fontId="6" fillId="3" borderId="9" xfId="0" quotePrefix="1" applyFont="1" applyFill="1" applyBorder="1" applyAlignment="1" applyProtection="1">
      <alignment vertical="center" wrapText="1"/>
    </xf>
    <xf numFmtId="0" fontId="7" fillId="0" borderId="19" xfId="0" applyFont="1" applyBorder="1" applyAlignment="1" applyProtection="1">
      <alignment horizontal="right" vertical="center" wrapText="1"/>
    </xf>
    <xf numFmtId="0" fontId="7" fillId="0" borderId="24" xfId="0" applyFont="1" applyBorder="1" applyAlignment="1" applyProtection="1">
      <alignment vertical="center" wrapText="1"/>
      <protection locked="0"/>
    </xf>
    <xf numFmtId="0" fontId="7" fillId="0" borderId="20" xfId="0" applyFont="1" applyBorder="1" applyAlignment="1" applyProtection="1">
      <alignment vertical="center" wrapText="1"/>
      <protection locked="0"/>
    </xf>
    <xf numFmtId="0" fontId="7" fillId="0" borderId="32" xfId="0" applyFont="1" applyBorder="1" applyAlignment="1" applyProtection="1">
      <alignment vertical="center"/>
      <protection locked="0"/>
    </xf>
    <xf numFmtId="0" fontId="6" fillId="0" borderId="6" xfId="0" quotePrefix="1" applyFont="1" applyFill="1" applyBorder="1" applyAlignment="1" applyProtection="1">
      <alignment horizontal="left" vertical="center"/>
      <protection locked="0"/>
    </xf>
    <xf numFmtId="0" fontId="6" fillId="0" borderId="29" xfId="0" applyFont="1" applyBorder="1" applyAlignment="1" applyProtection="1">
      <alignment vertical="top"/>
    </xf>
    <xf numFmtId="0" fontId="6" fillId="0" borderId="3" xfId="0" applyFont="1" applyBorder="1" applyAlignment="1" applyProtection="1">
      <alignment vertical="top"/>
      <protection locked="0"/>
    </xf>
    <xf numFmtId="0" fontId="15" fillId="3" borderId="9" xfId="0" quotePrefix="1" applyFont="1" applyFill="1" applyBorder="1" applyAlignment="1" applyProtection="1">
      <alignment horizontal="right" vertical="center"/>
    </xf>
    <xf numFmtId="49" fontId="0" fillId="14" borderId="0" xfId="0" applyNumberFormat="1" applyFill="1" applyAlignment="1">
      <alignment wrapText="1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0" xfId="0" quotePrefix="1" applyFill="1" applyBorder="1" applyAlignment="1" applyProtection="1">
      <alignment horizontal="left" vertical="center"/>
    </xf>
    <xf numFmtId="0" fontId="0" fillId="0" borderId="0" xfId="0" quotePrefix="1" applyBorder="1" applyAlignment="1" applyProtection="1">
      <alignment vertical="center"/>
    </xf>
    <xf numFmtId="0" fontId="0" fillId="0" borderId="6" xfId="0" quotePrefix="1" applyBorder="1" applyAlignment="1" applyProtection="1">
      <alignment vertical="center"/>
    </xf>
    <xf numFmtId="16" fontId="7" fillId="0" borderId="20" xfId="0" applyNumberFormat="1" applyFont="1" applyBorder="1" applyAlignment="1" applyProtection="1">
      <alignment horizontal="left" vertical="center"/>
      <protection locked="0"/>
    </xf>
    <xf numFmtId="0" fontId="7" fillId="0" borderId="18" xfId="0" applyFont="1" applyBorder="1" applyAlignment="1" applyProtection="1">
      <alignment horizontal="right" vertical="center" wrapText="1"/>
    </xf>
    <xf numFmtId="0" fontId="13" fillId="0" borderId="0" xfId="0" applyFont="1" applyAlignment="1" applyProtection="1">
      <alignment vertical="center"/>
    </xf>
    <xf numFmtId="0" fontId="0" fillId="10" borderId="5" xfId="0" applyFill="1" applyBorder="1" applyAlignment="1" applyProtection="1">
      <alignment vertical="center"/>
      <protection locked="0"/>
    </xf>
    <xf numFmtId="0" fontId="5" fillId="10" borderId="20" xfId="0" applyFont="1" applyFill="1" applyBorder="1" applyAlignment="1" applyProtection="1">
      <alignment vertical="center"/>
      <protection locked="0"/>
    </xf>
    <xf numFmtId="0" fontId="18" fillId="0" borderId="0" xfId="0" applyFont="1"/>
    <xf numFmtId="0" fontId="7" fillId="0" borderId="20" xfId="0" applyFont="1" applyBorder="1" applyAlignment="1" applyProtection="1">
      <alignment horizontal="left" vertical="center"/>
      <protection locked="0"/>
    </xf>
    <xf numFmtId="0" fontId="5" fillId="0" borderId="45" xfId="0" applyFont="1" applyFill="1" applyBorder="1" applyAlignment="1" applyProtection="1">
      <alignment vertical="center"/>
      <protection locked="0"/>
    </xf>
    <xf numFmtId="0" fontId="0" fillId="0" borderId="52" xfId="0" applyBorder="1" applyAlignment="1" applyProtection="1">
      <alignment horizontal="left" vertical="center"/>
    </xf>
    <xf numFmtId="0" fontId="0" fillId="0" borderId="2" xfId="0" applyBorder="1" applyAlignment="1" applyProtection="1">
      <alignment horizontal="left" vertical="center"/>
    </xf>
    <xf numFmtId="0" fontId="0" fillId="0" borderId="51" xfId="0" applyBorder="1" applyAlignment="1" applyProtection="1">
      <alignment horizontal="left" vertical="center"/>
    </xf>
    <xf numFmtId="0" fontId="7" fillId="0" borderId="6" xfId="0" applyFont="1" applyBorder="1" applyAlignment="1" applyProtection="1">
      <alignment horizontal="left" vertical="center"/>
      <protection locked="0"/>
    </xf>
    <xf numFmtId="0" fontId="20" fillId="0" borderId="0" xfId="0" applyFont="1"/>
    <xf numFmtId="14" fontId="0" fillId="0" borderId="1" xfId="0" applyNumberFormat="1" applyBorder="1" applyAlignment="1" applyProtection="1">
      <alignment horizontal="right" vertical="center"/>
      <protection locked="0"/>
    </xf>
    <xf numFmtId="0" fontId="0" fillId="0" borderId="11" xfId="0" applyBorder="1" applyAlignment="1" applyProtection="1">
      <alignment horizontal="right" vertical="center"/>
      <protection locked="0"/>
    </xf>
    <xf numFmtId="0" fontId="0" fillId="0" borderId="6" xfId="0" applyBorder="1" applyAlignment="1" applyProtection="1">
      <alignment horizontal="right" vertical="center"/>
      <protection locked="0"/>
    </xf>
    <xf numFmtId="0" fontId="7" fillId="0" borderId="20" xfId="0" applyFont="1" applyFill="1" applyBorder="1" applyAlignment="1" applyProtection="1">
      <alignment horizontal="right" vertical="center"/>
      <protection locked="0"/>
    </xf>
    <xf numFmtId="0" fontId="13" fillId="0" borderId="0" xfId="0" applyFont="1" applyAlignment="1">
      <alignment wrapText="1"/>
    </xf>
    <xf numFmtId="49" fontId="6" fillId="0" borderId="19" xfId="0" applyNumberFormat="1" applyFont="1" applyFill="1" applyBorder="1" applyAlignment="1" applyProtection="1">
      <alignment vertical="center" wrapText="1"/>
      <protection locked="0"/>
    </xf>
    <xf numFmtId="49" fontId="6" fillId="0" borderId="10" xfId="0" applyNumberFormat="1" applyFont="1" applyFill="1" applyBorder="1" applyAlignment="1" applyProtection="1">
      <alignment vertical="center" wrapText="1"/>
      <protection locked="0"/>
    </xf>
    <xf numFmtId="0" fontId="5" fillId="0" borderId="2" xfId="0" applyFont="1" applyBorder="1" applyAlignment="1">
      <alignment horizontal="left"/>
    </xf>
    <xf numFmtId="0" fontId="0" fillId="0" borderId="0" xfId="0" applyAlignment="1">
      <alignment horizontal="left"/>
    </xf>
    <xf numFmtId="0" fontId="6" fillId="0" borderId="19" xfId="0" applyFont="1" applyBorder="1" applyAlignment="1" applyProtection="1">
      <alignment horizontal="left" vertical="center"/>
      <protection locked="0"/>
    </xf>
    <xf numFmtId="0" fontId="6" fillId="0" borderId="32" xfId="0" applyFont="1" applyBorder="1" applyAlignment="1" applyProtection="1">
      <alignment horizontal="left" vertical="center"/>
      <protection locked="0"/>
    </xf>
    <xf numFmtId="0" fontId="6" fillId="0" borderId="20" xfId="0" applyFont="1" applyBorder="1" applyAlignment="1" applyProtection="1">
      <alignment horizontal="left" vertical="center"/>
      <protection locked="0"/>
    </xf>
    <xf numFmtId="0" fontId="7" fillId="0" borderId="32" xfId="0" applyFont="1" applyBorder="1" applyAlignment="1" applyProtection="1">
      <alignment horizontal="left" vertical="center"/>
      <protection locked="0"/>
    </xf>
    <xf numFmtId="0" fontId="7" fillId="0" borderId="20" xfId="0" applyFont="1" applyBorder="1" applyAlignment="1" applyProtection="1">
      <alignment horizontal="left" vertical="center"/>
      <protection locked="0"/>
    </xf>
    <xf numFmtId="0" fontId="7" fillId="0" borderId="12" xfId="0" quotePrefix="1" applyFont="1" applyFill="1" applyBorder="1" applyAlignment="1" applyProtection="1">
      <alignment horizontal="left" vertical="center"/>
      <protection locked="0"/>
    </xf>
    <xf numFmtId="0" fontId="7" fillId="0" borderId="40" xfId="0" quotePrefix="1" applyFont="1" applyFill="1" applyBorder="1" applyAlignment="1" applyProtection="1">
      <alignment horizontal="left" vertical="center"/>
      <protection locked="0"/>
    </xf>
    <xf numFmtId="0" fontId="1" fillId="0" borderId="49" xfId="0" quotePrefix="1" applyFont="1" applyBorder="1" applyAlignment="1" applyProtection="1">
      <alignment horizontal="left" vertical="top" wrapText="1"/>
      <protection locked="0"/>
    </xf>
    <xf numFmtId="0" fontId="1" fillId="0" borderId="30" xfId="0" quotePrefix="1" applyFont="1" applyBorder="1" applyAlignment="1" applyProtection="1">
      <alignment horizontal="left" vertical="top" wrapText="1"/>
      <protection locked="0"/>
    </xf>
    <xf numFmtId="0" fontId="1" fillId="0" borderId="50" xfId="0" quotePrefix="1" applyFont="1" applyBorder="1" applyAlignment="1" applyProtection="1">
      <alignment horizontal="left" vertical="top" wrapText="1"/>
      <protection locked="0"/>
    </xf>
    <xf numFmtId="0" fontId="1" fillId="0" borderId="2" xfId="0" quotePrefix="1" applyFont="1" applyBorder="1" applyAlignment="1" applyProtection="1">
      <alignment horizontal="left" vertical="top" wrapText="1"/>
      <protection locked="0"/>
    </xf>
    <xf numFmtId="0" fontId="1" fillId="0" borderId="0" xfId="0" quotePrefix="1" applyFont="1" applyBorder="1" applyAlignment="1" applyProtection="1">
      <alignment horizontal="left" vertical="top" wrapText="1"/>
      <protection locked="0"/>
    </xf>
    <xf numFmtId="0" fontId="1" fillId="0" borderId="42" xfId="0" quotePrefix="1" applyFont="1" applyBorder="1" applyAlignment="1" applyProtection="1">
      <alignment horizontal="left" vertical="top" wrapText="1"/>
      <protection locked="0"/>
    </xf>
    <xf numFmtId="0" fontId="1" fillId="0" borderId="4" xfId="0" quotePrefix="1" applyFont="1" applyBorder="1" applyAlignment="1" applyProtection="1">
      <alignment horizontal="left" vertical="top" wrapText="1"/>
      <protection locked="0"/>
    </xf>
    <xf numFmtId="0" fontId="1" fillId="0" borderId="12" xfId="0" quotePrefix="1" applyFont="1" applyBorder="1" applyAlignment="1" applyProtection="1">
      <alignment horizontal="left" vertical="top" wrapText="1"/>
      <protection locked="0"/>
    </xf>
    <xf numFmtId="0" fontId="1" fillId="0" borderId="43" xfId="0" quotePrefix="1" applyFont="1" applyBorder="1" applyAlignment="1" applyProtection="1">
      <alignment horizontal="left" vertical="top" wrapText="1"/>
      <protection locked="0"/>
    </xf>
    <xf numFmtId="0" fontId="6" fillId="0" borderId="29" xfId="0" applyFont="1" applyBorder="1" applyAlignment="1" applyProtection="1">
      <alignment horizontal="center" vertical="top"/>
      <protection locked="0"/>
    </xf>
    <xf numFmtId="0" fontId="6" fillId="0" borderId="3" xfId="0" applyFont="1" applyBorder="1" applyAlignment="1" applyProtection="1">
      <alignment horizontal="center" vertical="top"/>
      <protection locked="0"/>
    </xf>
    <xf numFmtId="0" fontId="6" fillId="0" borderId="41" xfId="0" applyFont="1" applyBorder="1" applyAlignment="1" applyProtection="1">
      <alignment horizontal="center" vertical="top"/>
      <protection locked="0"/>
    </xf>
    <xf numFmtId="0" fontId="6" fillId="0" borderId="6" xfId="0" applyFont="1" applyBorder="1" applyAlignment="1" applyProtection="1">
      <alignment horizontal="center" vertical="top"/>
      <protection locked="0"/>
    </xf>
    <xf numFmtId="0" fontId="1" fillId="0" borderId="49" xfId="0" applyFont="1" applyBorder="1" applyAlignment="1" applyProtection="1">
      <alignment horizontal="left" vertical="top"/>
      <protection locked="0"/>
    </xf>
    <xf numFmtId="0" fontId="1" fillId="0" borderId="30" xfId="0" applyFont="1" applyBorder="1" applyAlignment="1" applyProtection="1">
      <alignment horizontal="left" vertical="top"/>
      <protection locked="0"/>
    </xf>
    <xf numFmtId="0" fontId="1" fillId="0" borderId="50" xfId="0" applyFont="1" applyBorder="1" applyAlignment="1" applyProtection="1">
      <alignment horizontal="left" vertical="top"/>
      <protection locked="0"/>
    </xf>
    <xf numFmtId="0" fontId="1" fillId="0" borderId="2" xfId="0" applyFont="1" applyBorder="1" applyAlignment="1" applyProtection="1">
      <alignment horizontal="left" vertical="top"/>
      <protection locked="0"/>
    </xf>
    <xf numFmtId="0" fontId="1" fillId="0" borderId="0" xfId="0" applyFont="1" applyBorder="1" applyAlignment="1" applyProtection="1">
      <alignment horizontal="left" vertical="top"/>
      <protection locked="0"/>
    </xf>
    <xf numFmtId="0" fontId="1" fillId="0" borderId="42" xfId="0" applyFont="1" applyBorder="1" applyAlignment="1" applyProtection="1">
      <alignment horizontal="left" vertical="top"/>
      <protection locked="0"/>
    </xf>
    <xf numFmtId="0" fontId="1" fillId="0" borderId="4" xfId="0" applyFont="1" applyBorder="1" applyAlignment="1" applyProtection="1">
      <alignment horizontal="left" vertical="top"/>
      <protection locked="0"/>
    </xf>
    <xf numFmtId="0" fontId="1" fillId="0" borderId="12" xfId="0" applyFont="1" applyBorder="1" applyAlignment="1" applyProtection="1">
      <alignment horizontal="left" vertical="top"/>
      <protection locked="0"/>
    </xf>
    <xf numFmtId="0" fontId="1" fillId="0" borderId="43" xfId="0" applyFont="1" applyBorder="1" applyAlignment="1" applyProtection="1">
      <alignment horizontal="left" vertical="top"/>
      <protection locked="0"/>
    </xf>
    <xf numFmtId="0" fontId="7" fillId="0" borderId="29" xfId="0" applyFont="1" applyBorder="1" applyAlignment="1" applyProtection="1">
      <alignment horizontal="center" vertical="top"/>
      <protection locked="0"/>
    </xf>
    <xf numFmtId="0" fontId="7" fillId="0" borderId="3" xfId="0" applyFont="1" applyBorder="1" applyAlignment="1" applyProtection="1">
      <alignment horizontal="center" vertical="top"/>
      <protection locked="0"/>
    </xf>
    <xf numFmtId="0" fontId="7" fillId="0" borderId="41" xfId="0" applyFont="1" applyBorder="1" applyAlignment="1" applyProtection="1">
      <alignment horizontal="center" vertical="top"/>
      <protection locked="0"/>
    </xf>
    <xf numFmtId="0" fontId="7" fillId="0" borderId="6" xfId="0" applyFont="1" applyBorder="1" applyAlignment="1" applyProtection="1">
      <alignment horizontal="center" vertical="top"/>
      <protection locked="0"/>
    </xf>
    <xf numFmtId="0" fontId="6" fillId="0" borderId="19" xfId="0" applyFont="1" applyFill="1" applyBorder="1" applyAlignment="1" applyProtection="1">
      <alignment horizontal="left" vertical="center"/>
      <protection locked="0"/>
    </xf>
    <xf numFmtId="0" fontId="6" fillId="0" borderId="20" xfId="0" quotePrefix="1" applyFont="1" applyFill="1" applyBorder="1" applyAlignment="1" applyProtection="1">
      <alignment horizontal="left" vertical="center"/>
      <protection locked="0"/>
    </xf>
    <xf numFmtId="0" fontId="6" fillId="0" borderId="19" xfId="0" applyFont="1" applyFill="1" applyBorder="1" applyAlignment="1" applyProtection="1">
      <alignment horizontal="center" vertical="center"/>
      <protection locked="0"/>
    </xf>
    <xf numFmtId="0" fontId="6" fillId="0" borderId="20" xfId="0" applyFont="1" applyFill="1" applyBorder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left" vertical="center"/>
      <protection locked="0"/>
    </xf>
    <xf numFmtId="0" fontId="7" fillId="0" borderId="3" xfId="0" applyFont="1" applyBorder="1" applyAlignment="1" applyProtection="1">
      <alignment horizontal="left" vertical="center"/>
      <protection locked="0"/>
    </xf>
    <xf numFmtId="0" fontId="1" fillId="0" borderId="19" xfId="0" applyFont="1" applyFill="1" applyBorder="1" applyAlignment="1" applyProtection="1">
      <alignment horizontal="left" vertical="center"/>
      <protection locked="0"/>
    </xf>
    <xf numFmtId="0" fontId="1" fillId="0" borderId="32" xfId="0" applyFont="1" applyFill="1" applyBorder="1" applyAlignment="1" applyProtection="1">
      <alignment horizontal="left" vertical="center"/>
      <protection locked="0"/>
    </xf>
    <xf numFmtId="0" fontId="1" fillId="0" borderId="20" xfId="0" applyFont="1" applyFill="1" applyBorder="1" applyAlignment="1" applyProtection="1">
      <alignment horizontal="left" vertical="center"/>
      <protection locked="0"/>
    </xf>
    <xf numFmtId="0" fontId="7" fillId="0" borderId="32" xfId="0" applyFont="1" applyFill="1" applyBorder="1" applyAlignment="1" applyProtection="1">
      <alignment horizontal="left" vertical="center"/>
      <protection locked="0"/>
    </xf>
    <xf numFmtId="0" fontId="7" fillId="0" borderId="20" xfId="0" applyFont="1" applyFill="1" applyBorder="1" applyAlignment="1" applyProtection="1">
      <alignment horizontal="left" vertical="center"/>
      <protection locked="0"/>
    </xf>
    <xf numFmtId="0" fontId="6" fillId="0" borderId="46" xfId="0" applyFont="1" applyFill="1" applyBorder="1" applyAlignment="1" applyProtection="1">
      <alignment horizontal="center" vertical="center"/>
      <protection locked="0"/>
    </xf>
    <xf numFmtId="0" fontId="6" fillId="0" borderId="27" xfId="0" applyFont="1" applyFill="1" applyBorder="1" applyAlignment="1" applyProtection="1">
      <alignment horizontal="center" vertical="center"/>
      <protection locked="0"/>
    </xf>
    <xf numFmtId="49" fontId="14" fillId="0" borderId="12" xfId="0" applyNumberFormat="1" applyFont="1" applyFill="1" applyBorder="1" applyAlignment="1" applyProtection="1">
      <alignment horizontal="center" vertical="center"/>
      <protection locked="0"/>
    </xf>
    <xf numFmtId="49" fontId="14" fillId="0" borderId="6" xfId="0" applyNumberFormat="1" applyFont="1" applyFill="1" applyBorder="1" applyAlignment="1" applyProtection="1">
      <alignment horizontal="center" vertical="center"/>
      <protection locked="0"/>
    </xf>
    <xf numFmtId="0" fontId="7" fillId="0" borderId="19" xfId="0" quotePrefix="1" applyFont="1" applyBorder="1" applyAlignment="1" applyProtection="1">
      <alignment horizontal="center" vertical="center"/>
      <protection locked="0"/>
    </xf>
    <xf numFmtId="0" fontId="7" fillId="0" borderId="32" xfId="0" quotePrefix="1" applyFont="1" applyBorder="1" applyAlignment="1" applyProtection="1">
      <alignment horizontal="center" vertical="center"/>
      <protection locked="0"/>
    </xf>
    <xf numFmtId="0" fontId="7" fillId="0" borderId="32" xfId="0" quotePrefix="1" applyFont="1" applyBorder="1" applyAlignment="1" applyProtection="1">
      <alignment horizontal="left" vertical="center"/>
      <protection locked="0"/>
    </xf>
    <xf numFmtId="0" fontId="7" fillId="0" borderId="20" xfId="0" quotePrefix="1" applyFont="1" applyBorder="1" applyAlignment="1" applyProtection="1">
      <alignment horizontal="left" vertical="center"/>
      <protection locked="0"/>
    </xf>
    <xf numFmtId="0" fontId="13" fillId="0" borderId="2" xfId="0" applyFont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center" vertical="center"/>
      <protection locked="0"/>
    </xf>
    <xf numFmtId="0" fontId="13" fillId="0" borderId="4" xfId="0" applyFont="1" applyBorder="1" applyAlignment="1" applyProtection="1">
      <alignment horizontal="center" vertical="center"/>
      <protection locked="0"/>
    </xf>
    <xf numFmtId="0" fontId="13" fillId="0" borderId="12" xfId="0" applyFont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left" vertical="top" wrapText="1"/>
      <protection locked="0"/>
    </xf>
    <xf numFmtId="0" fontId="0" fillId="0" borderId="3" xfId="0" applyBorder="1" applyAlignment="1" applyProtection="1">
      <alignment horizontal="left" vertical="top"/>
      <protection locked="0"/>
    </xf>
    <xf numFmtId="0" fontId="0" fillId="0" borderId="2" xfId="0" applyBorder="1" applyAlignment="1" applyProtection="1">
      <alignment horizontal="left" vertical="top"/>
      <protection locked="0"/>
    </xf>
    <xf numFmtId="0" fontId="0" fillId="0" borderId="4" xfId="0" applyBorder="1" applyAlignment="1" applyProtection="1">
      <alignment horizontal="left" vertical="top"/>
      <protection locked="0"/>
    </xf>
    <xf numFmtId="0" fontId="0" fillId="0" borderId="6" xfId="0" applyBorder="1" applyAlignment="1" applyProtection="1">
      <alignment horizontal="left" vertical="top"/>
      <protection locked="0"/>
    </xf>
    <xf numFmtId="0" fontId="15" fillId="3" borderId="13" xfId="0" quotePrefix="1" applyFont="1" applyFill="1" applyBorder="1" applyAlignment="1" applyProtection="1">
      <alignment horizontal="center" vertical="center" wrapText="1"/>
    </xf>
    <xf numFmtId="0" fontId="15" fillId="3" borderId="38" xfId="0" quotePrefix="1" applyFont="1" applyFill="1" applyBorder="1" applyAlignment="1" applyProtection="1">
      <alignment horizontal="center" vertical="center" wrapText="1"/>
    </xf>
    <xf numFmtId="0" fontId="0" fillId="9" borderId="8" xfId="0" applyFill="1" applyBorder="1" applyAlignment="1" applyProtection="1">
      <alignment horizontal="center" vertical="center" wrapText="1"/>
      <protection locked="0"/>
    </xf>
    <xf numFmtId="0" fontId="0" fillId="9" borderId="22" xfId="0" applyFill="1" applyBorder="1" applyAlignment="1" applyProtection="1">
      <alignment horizontal="center" vertical="center" wrapText="1"/>
      <protection locked="0"/>
    </xf>
    <xf numFmtId="0" fontId="9" fillId="9" borderId="8" xfId="0" applyFont="1" applyFill="1" applyBorder="1" applyAlignment="1" applyProtection="1">
      <alignment horizontal="center" vertical="center"/>
      <protection locked="0"/>
    </xf>
    <xf numFmtId="0" fontId="9" fillId="9" borderId="22" xfId="0" applyFont="1" applyFill="1" applyBorder="1" applyAlignment="1" applyProtection="1">
      <alignment horizontal="center" vertical="center"/>
      <protection locked="0"/>
    </xf>
    <xf numFmtId="0" fontId="9" fillId="9" borderId="8" xfId="0" applyFont="1" applyFill="1" applyBorder="1" applyAlignment="1" applyProtection="1">
      <alignment horizontal="center" vertical="center" wrapText="1"/>
      <protection locked="0"/>
    </xf>
    <xf numFmtId="0" fontId="9" fillId="9" borderId="22" xfId="0" applyFont="1" applyFill="1" applyBorder="1" applyAlignment="1" applyProtection="1">
      <alignment horizontal="center" vertical="center" wrapText="1"/>
      <protection locked="0"/>
    </xf>
    <xf numFmtId="0" fontId="12" fillId="9" borderId="8" xfId="0" applyFont="1" applyFill="1" applyBorder="1" applyAlignment="1" applyProtection="1">
      <alignment horizontal="center" vertical="center" wrapText="1" shrinkToFit="1"/>
      <protection locked="0"/>
    </xf>
    <xf numFmtId="0" fontId="12" fillId="9" borderId="22" xfId="0" applyFont="1" applyFill="1" applyBorder="1" applyAlignment="1" applyProtection="1">
      <alignment horizontal="center" vertical="center" shrinkToFit="1"/>
      <protection locked="0"/>
    </xf>
    <xf numFmtId="0" fontId="12" fillId="9" borderId="2" xfId="0" applyFont="1" applyFill="1" applyBorder="1" applyAlignment="1" applyProtection="1">
      <alignment horizontal="center" vertical="center" wrapText="1" shrinkToFit="1"/>
      <protection locked="0"/>
    </xf>
    <xf numFmtId="0" fontId="12" fillId="9" borderId="3" xfId="0" applyFont="1" applyFill="1" applyBorder="1" applyAlignment="1" applyProtection="1">
      <alignment horizontal="center" vertical="center" shrinkToFit="1"/>
      <protection locked="0"/>
    </xf>
    <xf numFmtId="49" fontId="6" fillId="0" borderId="30" xfId="0" applyNumberFormat="1" applyFont="1" applyFill="1" applyBorder="1" applyAlignment="1" applyProtection="1">
      <alignment horizontal="center" vertical="center"/>
      <protection locked="0"/>
    </xf>
    <xf numFmtId="49" fontId="6" fillId="0" borderId="27" xfId="0" applyNumberFormat="1" applyFont="1" applyFill="1" applyBorder="1" applyAlignment="1" applyProtection="1">
      <alignment horizontal="center" vertical="center"/>
      <protection locked="0"/>
    </xf>
    <xf numFmtId="0" fontId="12" fillId="9" borderId="22" xfId="0" applyFont="1" applyFill="1" applyBorder="1" applyAlignment="1" applyProtection="1">
      <alignment horizontal="center" vertical="center" wrapText="1" shrinkToFit="1"/>
      <protection locked="0"/>
    </xf>
    <xf numFmtId="0" fontId="9" fillId="9" borderId="8" xfId="0" applyFont="1" applyFill="1" applyBorder="1" applyAlignment="1" applyProtection="1">
      <alignment horizontal="center" vertical="center" shrinkToFit="1"/>
      <protection locked="0"/>
    </xf>
    <xf numFmtId="0" fontId="9" fillId="9" borderId="22" xfId="0" applyFont="1" applyFill="1" applyBorder="1" applyAlignment="1" applyProtection="1">
      <alignment horizontal="center" vertical="center" shrinkToFit="1"/>
      <protection locked="0"/>
    </xf>
    <xf numFmtId="0" fontId="9" fillId="9" borderId="8" xfId="0" quotePrefix="1" applyFont="1" applyFill="1" applyBorder="1" applyAlignment="1" applyProtection="1">
      <alignment horizontal="center" vertical="center" shrinkToFit="1"/>
      <protection locked="0"/>
    </xf>
    <xf numFmtId="0" fontId="5" fillId="9" borderId="8" xfId="0" quotePrefix="1" applyFont="1" applyFill="1" applyBorder="1" applyAlignment="1" applyProtection="1">
      <alignment horizontal="center" vertical="center" shrinkToFit="1"/>
      <protection locked="0"/>
    </xf>
    <xf numFmtId="0" fontId="5" fillId="9" borderId="22" xfId="0" quotePrefix="1" applyFont="1" applyFill="1" applyBorder="1" applyAlignment="1" applyProtection="1">
      <alignment horizontal="center" vertical="center" shrinkToFit="1"/>
      <protection locked="0"/>
    </xf>
    <xf numFmtId="0" fontId="9" fillId="9" borderId="22" xfId="0" quotePrefix="1" applyFont="1" applyFill="1" applyBorder="1" applyAlignment="1" applyProtection="1">
      <alignment horizontal="center" vertical="center" shrinkToFit="1"/>
      <protection locked="0"/>
    </xf>
  </cellXfs>
  <cellStyles count="1">
    <cellStyle name="Normal" xfId="0" builtinId="0"/>
  </cellStyles>
  <dxfs count="87">
    <dxf>
      <fill>
        <patternFill>
          <bgColor rgb="FFFF0000"/>
        </patternFill>
      </fill>
    </dxf>
    <dxf>
      <numFmt numFmtId="0" formatCode="General"/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601980</xdr:colOff>
          <xdr:row>0</xdr:row>
          <xdr:rowOff>76200</xdr:rowOff>
        </xdr:from>
        <xdr:to>
          <xdr:col>2</xdr:col>
          <xdr:colOff>38100</xdr:colOff>
          <xdr:row>0</xdr:row>
          <xdr:rowOff>533400</xdr:rowOff>
        </xdr:to>
        <xdr:sp macro="" textlink="">
          <xdr:nvSpPr>
            <xdr:cNvPr id="1038" name="CommandButton1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889428</xdr:colOff>
      <xdr:row>10</xdr:row>
      <xdr:rowOff>133364</xdr:rowOff>
    </xdr:from>
    <xdr:to>
      <xdr:col>3</xdr:col>
      <xdr:colOff>147664</xdr:colOff>
      <xdr:row>17</xdr:row>
      <xdr:rowOff>71716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6957" y="4140588"/>
          <a:ext cx="5372166" cy="20719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1575225</xdr:colOff>
      <xdr:row>35</xdr:row>
      <xdr:rowOff>181808</xdr:rowOff>
    </xdr:from>
    <xdr:to>
      <xdr:col>3</xdr:col>
      <xdr:colOff>960336</xdr:colOff>
      <xdr:row>41</xdr:row>
      <xdr:rowOff>35859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2754" y="12714467"/>
          <a:ext cx="5499041" cy="15214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DZ497"/>
  <sheetViews>
    <sheetView showGridLines="0" tabSelected="1" topLeftCell="A34" zoomScale="85" zoomScaleNormal="85" zoomScaleSheetLayoutView="50" workbookViewId="0">
      <selection activeCell="D33" sqref="D33"/>
    </sheetView>
  </sheetViews>
  <sheetFormatPr defaultColWidth="9.109375" defaultRowHeight="13.2" x14ac:dyDescent="0.25"/>
  <cols>
    <col min="1" max="1" width="9.109375" style="1"/>
    <col min="2" max="2" width="51.44140625" style="1" customWidth="1"/>
    <col min="3" max="3" width="37.6640625" style="1" customWidth="1"/>
    <col min="4" max="4" width="40.109375" style="1" customWidth="1"/>
    <col min="5" max="6" width="40.88671875" style="1" customWidth="1"/>
    <col min="125" max="129" width="9.109375" style="1" customWidth="1"/>
    <col min="130" max="16384" width="9.109375" style="1"/>
  </cols>
  <sheetData>
    <row r="1" spans="2:130" ht="48.75" customHeight="1" thickBot="1" x14ac:dyDescent="0.3"/>
    <row r="2" spans="2:130" ht="33.6" thickBot="1" x14ac:dyDescent="0.3">
      <c r="B2" s="289"/>
      <c r="C2" s="290" t="s">
        <v>130</v>
      </c>
      <c r="D2" s="18"/>
      <c r="E2" s="18"/>
      <c r="F2" s="286"/>
    </row>
    <row r="3" spans="2:130" ht="24" customHeight="1" thickBot="1" x14ac:dyDescent="0.3">
      <c r="B3" s="285" t="s">
        <v>44</v>
      </c>
      <c r="C3" s="369" t="s">
        <v>411</v>
      </c>
      <c r="D3" s="370"/>
      <c r="E3" s="285" t="s">
        <v>343</v>
      </c>
      <c r="F3" s="223">
        <v>1</v>
      </c>
    </row>
    <row r="4" spans="2:130" ht="24" customHeight="1" thickBot="1" x14ac:dyDescent="0.3">
      <c r="B4" s="291" t="s">
        <v>6</v>
      </c>
      <c r="C4" s="369" t="s">
        <v>412</v>
      </c>
      <c r="D4" s="370"/>
      <c r="E4" s="285" t="s">
        <v>349</v>
      </c>
      <c r="F4" s="314"/>
      <c r="DU4" s="90"/>
      <c r="DV4" s="90"/>
      <c r="DW4" s="90"/>
      <c r="DX4" s="90"/>
      <c r="DY4" s="90"/>
      <c r="DZ4" s="90"/>
    </row>
    <row r="5" spans="2:130" ht="31.8" thickBot="1" x14ac:dyDescent="0.3">
      <c r="B5" s="291" t="s">
        <v>7</v>
      </c>
      <c r="C5" s="369" t="s">
        <v>415</v>
      </c>
      <c r="D5" s="370"/>
      <c r="E5" s="283" t="s">
        <v>345</v>
      </c>
      <c r="F5" s="284"/>
      <c r="G5" s="334"/>
      <c r="H5" s="335"/>
      <c r="I5" s="335"/>
      <c r="J5" s="335"/>
      <c r="DU5" s="90"/>
      <c r="DV5" s="90"/>
      <c r="DW5" s="90"/>
      <c r="DX5" s="90"/>
      <c r="DY5" s="90"/>
      <c r="DZ5" s="90"/>
    </row>
    <row r="6" spans="2:130" ht="30.15" customHeight="1" thickBot="1" x14ac:dyDescent="0.3">
      <c r="B6" s="283" t="s">
        <v>45</v>
      </c>
      <c r="C6" s="371" t="s">
        <v>62</v>
      </c>
      <c r="D6" s="372"/>
      <c r="E6" s="283" t="s">
        <v>46</v>
      </c>
      <c r="F6" s="287"/>
      <c r="DU6" s="90"/>
      <c r="DV6" s="90"/>
      <c r="DW6" s="90"/>
      <c r="DX6" s="90"/>
      <c r="DY6" s="90"/>
      <c r="DZ6" s="90"/>
    </row>
    <row r="7" spans="2:130" ht="30.15" customHeight="1" thickBot="1" x14ac:dyDescent="0.3">
      <c r="B7" s="292" t="s">
        <v>104</v>
      </c>
      <c r="C7" s="380" t="s">
        <v>62</v>
      </c>
      <c r="D7" s="381"/>
      <c r="E7" s="283" t="s">
        <v>105</v>
      </c>
      <c r="F7" s="288"/>
      <c r="DU7" s="90"/>
      <c r="DV7" s="90"/>
      <c r="DW7" s="90"/>
      <c r="DX7" s="90"/>
      <c r="DY7" s="90"/>
      <c r="DZ7" s="90"/>
    </row>
    <row r="8" spans="2:130" ht="36" customHeight="1" thickBot="1" x14ac:dyDescent="0.3">
      <c r="B8" s="224" t="s">
        <v>81</v>
      </c>
      <c r="C8" s="60" t="s">
        <v>320</v>
      </c>
      <c r="D8" s="60" t="s">
        <v>3</v>
      </c>
      <c r="E8" s="261" t="s">
        <v>134</v>
      </c>
      <c r="F8" s="249"/>
      <c r="DF8" s="188"/>
      <c r="DU8" s="90"/>
      <c r="DV8" s="90"/>
      <c r="DW8" s="90"/>
      <c r="DX8" s="90"/>
      <c r="DY8" s="90"/>
      <c r="DZ8" s="90"/>
    </row>
    <row r="9" spans="2:130" ht="26.1" customHeight="1" thickBot="1" x14ac:dyDescent="0.3">
      <c r="B9" s="295" t="s">
        <v>137</v>
      </c>
      <c r="C9" s="296" t="s">
        <v>24</v>
      </c>
      <c r="D9" s="296" t="s">
        <v>138</v>
      </c>
      <c r="E9" s="373"/>
      <c r="F9" s="374"/>
      <c r="DF9" s="188"/>
      <c r="DU9" s="90"/>
      <c r="DV9" s="90"/>
      <c r="DW9" s="90"/>
      <c r="DX9" s="90"/>
      <c r="DY9" s="90"/>
      <c r="DZ9" s="90"/>
    </row>
    <row r="10" spans="2:130" ht="30" customHeight="1" thickBot="1" x14ac:dyDescent="0.3">
      <c r="B10" s="224" t="s">
        <v>1</v>
      </c>
      <c r="C10" s="332" t="s">
        <v>407</v>
      </c>
      <c r="D10" s="332" t="s">
        <v>407</v>
      </c>
      <c r="E10" s="333" t="s">
        <v>407</v>
      </c>
      <c r="F10" s="275"/>
      <c r="DF10" s="188"/>
      <c r="DU10" s="90"/>
      <c r="DV10" s="90"/>
      <c r="DW10" s="90"/>
      <c r="DX10" s="90"/>
      <c r="DY10" s="90"/>
      <c r="DZ10" s="90"/>
    </row>
    <row r="11" spans="2:130" ht="24" customHeight="1" x14ac:dyDescent="0.25">
      <c r="B11" s="388"/>
      <c r="C11" s="389"/>
      <c r="D11" s="389"/>
      <c r="E11" s="293" t="s">
        <v>381</v>
      </c>
      <c r="F11" s="294"/>
      <c r="DF11" s="188"/>
      <c r="DU11" s="90"/>
      <c r="DV11" s="90"/>
      <c r="DW11" s="90"/>
      <c r="DX11" s="90"/>
      <c r="DY11" s="90"/>
      <c r="DZ11" s="90"/>
    </row>
    <row r="12" spans="2:130" ht="24" customHeight="1" x14ac:dyDescent="0.25">
      <c r="B12" s="388"/>
      <c r="C12" s="389"/>
      <c r="D12" s="389"/>
      <c r="E12" s="392" t="s">
        <v>416</v>
      </c>
      <c r="F12" s="393"/>
      <c r="DF12" s="188"/>
      <c r="DU12" s="90"/>
      <c r="DV12" s="90"/>
      <c r="DW12" s="90"/>
      <c r="DX12" s="90"/>
      <c r="DY12" s="90"/>
      <c r="DZ12" s="90"/>
    </row>
    <row r="13" spans="2:130" ht="24" customHeight="1" x14ac:dyDescent="0.25">
      <c r="B13" s="388"/>
      <c r="C13" s="389"/>
      <c r="D13" s="389"/>
      <c r="E13" s="394"/>
      <c r="F13" s="393"/>
      <c r="DU13" s="90"/>
      <c r="DV13" s="90"/>
      <c r="DW13" s="90"/>
      <c r="DX13" s="90"/>
      <c r="DY13" s="90"/>
      <c r="DZ13" s="90"/>
    </row>
    <row r="14" spans="2:130" ht="24" customHeight="1" x14ac:dyDescent="0.25">
      <c r="B14" s="388"/>
      <c r="C14" s="389"/>
      <c r="D14" s="389"/>
      <c r="E14" s="394"/>
      <c r="F14" s="393"/>
      <c r="DU14" s="90"/>
      <c r="DV14" s="90"/>
      <c r="DW14" s="90"/>
      <c r="DX14" s="90"/>
      <c r="DY14" s="90"/>
      <c r="DZ14" s="90"/>
    </row>
    <row r="15" spans="2:130" ht="24" customHeight="1" x14ac:dyDescent="0.25">
      <c r="B15" s="388"/>
      <c r="C15" s="389"/>
      <c r="D15" s="389"/>
      <c r="E15" s="394"/>
      <c r="F15" s="393"/>
      <c r="DU15" s="90"/>
      <c r="DV15" s="90"/>
      <c r="DW15" s="90"/>
      <c r="DX15" s="90"/>
      <c r="DY15" s="90"/>
      <c r="DZ15" s="90"/>
    </row>
    <row r="16" spans="2:130" ht="24" customHeight="1" x14ac:dyDescent="0.25">
      <c r="B16" s="388"/>
      <c r="C16" s="389"/>
      <c r="D16" s="389"/>
      <c r="E16" s="394"/>
      <c r="F16" s="393"/>
      <c r="DU16" s="90"/>
      <c r="DV16" s="90"/>
      <c r="DW16" s="90"/>
      <c r="DX16" s="90"/>
      <c r="DY16" s="90"/>
      <c r="DZ16" s="90"/>
    </row>
    <row r="17" spans="2:130" ht="24" customHeight="1" x14ac:dyDescent="0.25">
      <c r="B17" s="388"/>
      <c r="C17" s="389"/>
      <c r="D17" s="389"/>
      <c r="E17" s="394"/>
      <c r="F17" s="393"/>
      <c r="DU17" s="90"/>
      <c r="DV17" s="90"/>
      <c r="DW17" s="90"/>
      <c r="DX17" s="90"/>
      <c r="DY17" s="90"/>
      <c r="DZ17" s="90"/>
    </row>
    <row r="18" spans="2:130" ht="24" customHeight="1" thickBot="1" x14ac:dyDescent="0.3">
      <c r="B18" s="390"/>
      <c r="C18" s="391"/>
      <c r="D18" s="391"/>
      <c r="E18" s="395"/>
      <c r="F18" s="396"/>
      <c r="DU18" s="90"/>
      <c r="DV18" s="90"/>
      <c r="DW18" s="90"/>
      <c r="DX18" s="90"/>
      <c r="DY18" s="90"/>
      <c r="DZ18" s="90"/>
    </row>
    <row r="19" spans="2:130" ht="32.1" customHeight="1" x14ac:dyDescent="0.25">
      <c r="B19" s="397" t="s">
        <v>119</v>
      </c>
      <c r="C19" s="241" t="s">
        <v>120</v>
      </c>
      <c r="D19" s="226" t="s">
        <v>100</v>
      </c>
      <c r="E19" s="241" t="s">
        <v>121</v>
      </c>
      <c r="F19" s="227" t="s">
        <v>100</v>
      </c>
      <c r="G19" s="188"/>
      <c r="DU19" s="90"/>
      <c r="DV19" s="90"/>
      <c r="DW19" s="90"/>
      <c r="DX19" s="90"/>
      <c r="DY19" s="90"/>
      <c r="DZ19" s="90"/>
    </row>
    <row r="20" spans="2:130" ht="32.1" customHeight="1" thickBot="1" x14ac:dyDescent="0.3">
      <c r="B20" s="398"/>
      <c r="C20" s="297" t="s">
        <v>350</v>
      </c>
      <c r="D20" s="298" t="s">
        <v>100</v>
      </c>
      <c r="E20" s="297" t="s">
        <v>122</v>
      </c>
      <c r="F20" s="299" t="s">
        <v>100</v>
      </c>
      <c r="G20" s="188"/>
      <c r="DU20" s="90"/>
      <c r="DV20" s="90"/>
      <c r="DW20" s="90"/>
      <c r="DX20" s="90"/>
      <c r="DY20" s="90"/>
      <c r="DZ20" s="90"/>
    </row>
    <row r="21" spans="2:130" ht="30.15" customHeight="1" thickBot="1" x14ac:dyDescent="0.3">
      <c r="B21" s="300" t="s">
        <v>123</v>
      </c>
      <c r="C21" s="315" t="s">
        <v>380</v>
      </c>
      <c r="D21" s="302" t="s">
        <v>128</v>
      </c>
      <c r="E21" s="301" t="s">
        <v>124</v>
      </c>
      <c r="F21" s="303" t="s">
        <v>159</v>
      </c>
      <c r="G21" s="202"/>
      <c r="H21" s="201"/>
      <c r="I21" s="201"/>
      <c r="J21" s="201"/>
      <c r="K21" s="201"/>
      <c r="L21" s="201"/>
      <c r="M21" s="201"/>
      <c r="DU21" s="90"/>
      <c r="DV21" s="90"/>
      <c r="DW21" s="90"/>
      <c r="DX21" s="90"/>
      <c r="DY21" s="90"/>
      <c r="DZ21" s="90"/>
    </row>
    <row r="22" spans="2:130" ht="32.1" customHeight="1" thickBot="1" x14ac:dyDescent="0.3">
      <c r="B22" s="228" t="s">
        <v>168</v>
      </c>
      <c r="C22" s="60" t="s">
        <v>144</v>
      </c>
      <c r="D22" s="304"/>
      <c r="E22" s="278" t="s">
        <v>8</v>
      </c>
      <c r="F22" s="62"/>
      <c r="DU22" s="90"/>
      <c r="DV22" s="90"/>
      <c r="DW22" s="90"/>
      <c r="DX22" s="90"/>
      <c r="DY22" s="90"/>
      <c r="DZ22" s="90"/>
    </row>
    <row r="23" spans="2:130" ht="26.1" customHeight="1" thickBot="1" x14ac:dyDescent="0.3">
      <c r="B23" s="225" t="s">
        <v>140</v>
      </c>
      <c r="C23" s="59" t="s">
        <v>62</v>
      </c>
      <c r="D23" s="63"/>
      <c r="E23" s="230" t="s">
        <v>347</v>
      </c>
      <c r="F23" s="325" t="s">
        <v>100</v>
      </c>
    </row>
    <row r="24" spans="2:130" ht="26.1" customHeight="1" thickBot="1" x14ac:dyDescent="0.3">
      <c r="B24" s="224" t="s">
        <v>171</v>
      </c>
      <c r="C24" s="59" t="s">
        <v>50</v>
      </c>
      <c r="D24" s="183"/>
      <c r="E24" s="230" t="s">
        <v>351</v>
      </c>
      <c r="F24" s="64" t="s">
        <v>100</v>
      </c>
    </row>
    <row r="25" spans="2:130" ht="26.1" customHeight="1" thickBot="1" x14ac:dyDescent="0.3">
      <c r="B25" s="229" t="s">
        <v>172</v>
      </c>
      <c r="C25" s="59" t="s">
        <v>54</v>
      </c>
      <c r="D25" s="184"/>
      <c r="E25" s="230" t="s">
        <v>346</v>
      </c>
      <c r="F25" s="64" t="s">
        <v>373</v>
      </c>
    </row>
    <row r="26" spans="2:130" ht="16.2" thickBot="1" x14ac:dyDescent="0.3">
      <c r="B26" s="230" t="s">
        <v>173</v>
      </c>
      <c r="C26" s="59" t="s">
        <v>95</v>
      </c>
      <c r="D26" s="185"/>
      <c r="E26" s="230" t="s">
        <v>352</v>
      </c>
      <c r="F26" s="320" t="s">
        <v>100</v>
      </c>
    </row>
    <row r="27" spans="2:130" ht="32.1" customHeight="1" thickBot="1" x14ac:dyDescent="0.3">
      <c r="B27" s="230" t="s">
        <v>174</v>
      </c>
      <c r="C27" s="60" t="s">
        <v>61</v>
      </c>
      <c r="D27" s="185"/>
      <c r="E27" s="230" t="s">
        <v>353</v>
      </c>
      <c r="F27" s="320" t="s">
        <v>100</v>
      </c>
    </row>
    <row r="28" spans="2:130" ht="26.1" customHeight="1" thickBot="1" x14ac:dyDescent="0.3">
      <c r="B28" s="231" t="s">
        <v>57</v>
      </c>
      <c r="C28" s="384"/>
      <c r="D28" s="385"/>
      <c r="E28" s="386" t="s">
        <v>413</v>
      </c>
      <c r="F28" s="387"/>
    </row>
    <row r="29" spans="2:130" ht="30.75" customHeight="1" thickBot="1" x14ac:dyDescent="0.3">
      <c r="B29" s="232" t="str">
        <f>CONCATENATE("N° totale manodensostati /
Total of densimeters number ",IF(OR(C28="Altro / Other :",C28="",C28=1),"",CONCATENATE("
in ciascuno dei ",C28," comp. / in each of ",C28," comp.")))</f>
        <v xml:space="preserve">N° totale manodensostati /
Total of densimeters number </v>
      </c>
      <c r="C29" s="382"/>
      <c r="D29" s="382"/>
      <c r="E29" s="382"/>
      <c r="F29" s="383"/>
    </row>
    <row r="30" spans="2:130" ht="32.1" customHeight="1" thickBot="1" x14ac:dyDescent="0.3">
      <c r="B30" s="232" t="s">
        <v>175</v>
      </c>
      <c r="C30" s="65" t="s">
        <v>147</v>
      </c>
      <c r="D30" s="276" t="s">
        <v>360</v>
      </c>
      <c r="E30" s="65" t="s">
        <v>148</v>
      </c>
      <c r="F30" s="66" t="s">
        <v>164</v>
      </c>
    </row>
    <row r="31" spans="2:130" ht="30.15" customHeight="1" thickBot="1" x14ac:dyDescent="0.3">
      <c r="B31" s="233" t="s">
        <v>9</v>
      </c>
      <c r="C31" s="273" t="s">
        <v>86</v>
      </c>
      <c r="D31" s="61" t="s">
        <v>362</v>
      </c>
      <c r="E31" s="67" t="s">
        <v>87</v>
      </c>
      <c r="F31" s="68" t="s">
        <v>409</v>
      </c>
    </row>
    <row r="32" spans="2:130" ht="26.1" customHeight="1" thickBot="1" x14ac:dyDescent="0.3">
      <c r="B32" s="272" t="s">
        <v>118</v>
      </c>
      <c r="C32" s="339"/>
      <c r="D32" s="339"/>
      <c r="E32" s="339"/>
      <c r="F32" s="340"/>
    </row>
    <row r="33" spans="1:6" ht="26.1" customHeight="1" thickBot="1" x14ac:dyDescent="0.3">
      <c r="B33" s="272" t="s">
        <v>20</v>
      </c>
      <c r="C33" s="276" t="s">
        <v>149</v>
      </c>
      <c r="D33" s="277"/>
      <c r="E33" s="278"/>
      <c r="F33" s="279"/>
    </row>
    <row r="34" spans="1:6" ht="30.15" customHeight="1" thickBot="1" x14ac:dyDescent="0.3">
      <c r="B34" s="274" t="s">
        <v>21</v>
      </c>
      <c r="C34" s="275" t="s">
        <v>100</v>
      </c>
      <c r="D34" s="281"/>
      <c r="E34" s="282"/>
      <c r="F34" s="280" t="s">
        <v>8</v>
      </c>
    </row>
    <row r="35" spans="1:6" ht="26.1" customHeight="1" thickBot="1" x14ac:dyDescent="0.3">
      <c r="B35" s="224" t="s">
        <v>10</v>
      </c>
      <c r="C35" s="224"/>
      <c r="D35" s="375" t="s">
        <v>408</v>
      </c>
      <c r="E35" s="376"/>
      <c r="F35" s="377"/>
    </row>
    <row r="36" spans="1:6" ht="26.1" customHeight="1" thickBot="1" x14ac:dyDescent="0.3">
      <c r="B36" s="343"/>
      <c r="C36" s="344"/>
      <c r="D36" s="345"/>
      <c r="E36" s="308" t="s">
        <v>377</v>
      </c>
      <c r="F36" s="305">
        <v>500</v>
      </c>
    </row>
    <row r="37" spans="1:6" ht="26.1" customHeight="1" x14ac:dyDescent="0.25">
      <c r="B37" s="346"/>
      <c r="C37" s="347"/>
      <c r="D37" s="348"/>
      <c r="E37" s="69" t="s">
        <v>8</v>
      </c>
      <c r="F37" s="234"/>
    </row>
    <row r="38" spans="1:6" ht="20.25" customHeight="1" x14ac:dyDescent="0.25">
      <c r="B38" s="346"/>
      <c r="C38" s="347"/>
      <c r="D38" s="348"/>
      <c r="E38" s="365"/>
      <c r="F38" s="366"/>
    </row>
    <row r="39" spans="1:6" ht="20.25" customHeight="1" x14ac:dyDescent="0.25">
      <c r="B39" s="346"/>
      <c r="C39" s="347"/>
      <c r="D39" s="348"/>
      <c r="E39" s="365"/>
      <c r="F39" s="366"/>
    </row>
    <row r="40" spans="1:6" ht="20.25" customHeight="1" x14ac:dyDescent="0.25">
      <c r="B40" s="346"/>
      <c r="C40" s="347"/>
      <c r="D40" s="348"/>
      <c r="E40" s="365"/>
      <c r="F40" s="366"/>
    </row>
    <row r="41" spans="1:6" ht="20.25" customHeight="1" x14ac:dyDescent="0.25">
      <c r="B41" s="346"/>
      <c r="C41" s="347"/>
      <c r="D41" s="348"/>
      <c r="E41" s="365"/>
      <c r="F41" s="366"/>
    </row>
    <row r="42" spans="1:6" s="20" customFormat="1" ht="20.25" customHeight="1" thickBot="1" x14ac:dyDescent="0.3">
      <c r="B42" s="349"/>
      <c r="C42" s="350"/>
      <c r="D42" s="351"/>
      <c r="E42" s="367"/>
      <c r="F42" s="368"/>
    </row>
    <row r="43" spans="1:6" ht="29.4" customHeight="1" thickBot="1" x14ac:dyDescent="0.3">
      <c r="B43" s="224" t="s">
        <v>11</v>
      </c>
      <c r="C43" s="224"/>
      <c r="D43" s="375" t="s">
        <v>410</v>
      </c>
      <c r="E43" s="376"/>
      <c r="F43" s="377"/>
    </row>
    <row r="44" spans="1:6" ht="20.25" customHeight="1" x14ac:dyDescent="0.25">
      <c r="B44" s="356"/>
      <c r="C44" s="357"/>
      <c r="D44" s="358"/>
      <c r="E44" s="306" t="s">
        <v>8</v>
      </c>
      <c r="F44" s="307"/>
    </row>
    <row r="45" spans="1:6" ht="26.1" customHeight="1" x14ac:dyDescent="0.25">
      <c r="B45" s="359"/>
      <c r="C45" s="360"/>
      <c r="D45" s="361"/>
      <c r="E45" s="352"/>
      <c r="F45" s="353"/>
    </row>
    <row r="46" spans="1:6" ht="26.1" customHeight="1" x14ac:dyDescent="0.25">
      <c r="B46" s="359"/>
      <c r="C46" s="360"/>
      <c r="D46" s="361"/>
      <c r="E46" s="352"/>
      <c r="F46" s="353"/>
    </row>
    <row r="47" spans="1:6" ht="26.1" customHeight="1" thickBot="1" x14ac:dyDescent="0.3">
      <c r="B47" s="362"/>
      <c r="C47" s="363"/>
      <c r="D47" s="364"/>
      <c r="E47" s="354"/>
      <c r="F47" s="355"/>
    </row>
    <row r="48" spans="1:6" ht="26.1" customHeight="1" thickBot="1" x14ac:dyDescent="0.3">
      <c r="A48" s="12"/>
      <c r="B48" s="225" t="s">
        <v>26</v>
      </c>
      <c r="C48" s="26"/>
      <c r="D48" s="270" t="s">
        <v>100</v>
      </c>
      <c r="E48" s="271" t="s">
        <v>88</v>
      </c>
      <c r="F48" s="62"/>
    </row>
    <row r="49" spans="2:6" ht="36" customHeight="1" thickBot="1" x14ac:dyDescent="0.3">
      <c r="B49" s="252" t="s">
        <v>12</v>
      </c>
      <c r="C49" s="261" t="s">
        <v>150</v>
      </c>
      <c r="D49" s="261" t="s">
        <v>311</v>
      </c>
      <c r="E49" s="260" t="s">
        <v>13</v>
      </c>
      <c r="F49" s="249" t="s">
        <v>43</v>
      </c>
    </row>
    <row r="50" spans="2:6" ht="30.15" customHeight="1" thickBot="1" x14ac:dyDescent="0.3">
      <c r="B50" s="253" t="s">
        <v>152</v>
      </c>
      <c r="C50" s="330">
        <v>5</v>
      </c>
      <c r="D50" s="253" t="s">
        <v>153</v>
      </c>
      <c r="E50" s="257">
        <v>5</v>
      </c>
      <c r="F50" s="259" t="s">
        <v>414</v>
      </c>
    </row>
    <row r="51" spans="2:6" ht="30.15" customHeight="1" thickBot="1" x14ac:dyDescent="0.3">
      <c r="B51" s="255" t="s">
        <v>151</v>
      </c>
      <c r="C51" s="66" t="s">
        <v>100</v>
      </c>
      <c r="D51" s="253" t="s">
        <v>376</v>
      </c>
      <c r="E51" s="66" t="s">
        <v>278</v>
      </c>
      <c r="F51" s="259" t="s">
        <v>414</v>
      </c>
    </row>
    <row r="52" spans="2:6" ht="30.15" customHeight="1" thickBot="1" x14ac:dyDescent="0.3">
      <c r="B52" s="253" t="s">
        <v>176</v>
      </c>
      <c r="C52" s="66" t="s">
        <v>373</v>
      </c>
      <c r="D52" s="253" t="s">
        <v>14</v>
      </c>
      <c r="E52" s="66" t="s">
        <v>100</v>
      </c>
      <c r="F52" s="259" t="s">
        <v>414</v>
      </c>
    </row>
    <row r="53" spans="2:6" s="2" customFormat="1" ht="27.9" customHeight="1" thickBot="1" x14ac:dyDescent="0.3">
      <c r="B53" s="224" t="s">
        <v>103</v>
      </c>
      <c r="C53" s="256"/>
      <c r="D53" s="253" t="s">
        <v>65</v>
      </c>
      <c r="E53" s="66" t="s">
        <v>43</v>
      </c>
      <c r="F53" s="259" t="s">
        <v>414</v>
      </c>
    </row>
    <row r="54" spans="2:6" ht="30.15" customHeight="1" thickBot="1" x14ac:dyDescent="0.3">
      <c r="B54" s="253" t="s">
        <v>152</v>
      </c>
      <c r="C54" s="254">
        <v>3</v>
      </c>
      <c r="D54" s="253" t="s">
        <v>153</v>
      </c>
      <c r="E54" s="257">
        <v>3</v>
      </c>
      <c r="F54" s="259" t="s">
        <v>414</v>
      </c>
    </row>
    <row r="55" spans="2:6" ht="30.15" customHeight="1" thickBot="1" x14ac:dyDescent="0.3">
      <c r="B55" s="258" t="s">
        <v>370</v>
      </c>
      <c r="C55" s="66" t="s">
        <v>375</v>
      </c>
      <c r="D55" s="243"/>
      <c r="E55" s="244"/>
      <c r="F55" s="259" t="s">
        <v>414</v>
      </c>
    </row>
    <row r="56" spans="2:6" ht="27.9" customHeight="1" thickBot="1" x14ac:dyDescent="0.3">
      <c r="B56" s="224" t="s">
        <v>5</v>
      </c>
      <c r="C56" s="255" t="s">
        <v>177</v>
      </c>
      <c r="D56" s="66"/>
      <c r="E56" s="262" t="s">
        <v>15</v>
      </c>
      <c r="F56" s="263" t="s">
        <v>390</v>
      </c>
    </row>
    <row r="57" spans="2:6" ht="30.15" customHeight="1" thickBot="1" x14ac:dyDescent="0.3">
      <c r="B57" s="268" t="s">
        <v>16</v>
      </c>
      <c r="C57" s="66" t="s">
        <v>158</v>
      </c>
      <c r="D57" s="255" t="s">
        <v>163</v>
      </c>
      <c r="E57" s="378"/>
      <c r="F57" s="379"/>
    </row>
    <row r="58" spans="2:6" ht="30.15" customHeight="1" thickBot="1" x14ac:dyDescent="0.3">
      <c r="B58" s="267" t="s">
        <v>162</v>
      </c>
      <c r="C58" s="66" t="s">
        <v>100</v>
      </c>
      <c r="D58" s="253" t="s">
        <v>22</v>
      </c>
      <c r="E58" s="254" t="s">
        <v>403</v>
      </c>
      <c r="F58" s="264"/>
    </row>
    <row r="59" spans="2:6" ht="30.15" customHeight="1" thickBot="1" x14ac:dyDescent="0.3">
      <c r="B59" s="266" t="s">
        <v>170</v>
      </c>
      <c r="C59" s="242" t="s">
        <v>43</v>
      </c>
      <c r="D59" s="265" t="s">
        <v>8</v>
      </c>
      <c r="E59" s="341"/>
      <c r="F59" s="342"/>
    </row>
    <row r="60" spans="2:6" ht="27.9" customHeight="1" thickBot="1" x14ac:dyDescent="0.3">
      <c r="B60" s="225" t="s">
        <v>17</v>
      </c>
      <c r="C60" s="269" t="s">
        <v>34</v>
      </c>
      <c r="D60" s="70" t="s">
        <v>8</v>
      </c>
      <c r="E60" s="339"/>
      <c r="F60" s="340"/>
    </row>
    <row r="61" spans="2:6" ht="32.1" customHeight="1" thickBot="1" x14ac:dyDescent="0.3">
      <c r="B61" s="245" t="s">
        <v>117</v>
      </c>
      <c r="C61" s="71" t="s">
        <v>161</v>
      </c>
      <c r="D61" s="70" t="s">
        <v>8</v>
      </c>
      <c r="E61" s="339"/>
      <c r="F61" s="340"/>
    </row>
    <row r="62" spans="2:6" ht="40.200000000000003" customHeight="1" thickBot="1" x14ac:dyDescent="0.3">
      <c r="B62" s="245" t="s">
        <v>178</v>
      </c>
      <c r="C62" s="72" t="s">
        <v>100</v>
      </c>
      <c r="D62" s="336" t="s">
        <v>348</v>
      </c>
      <c r="E62" s="337"/>
      <c r="F62" s="338"/>
    </row>
    <row r="63" spans="2:6" ht="18" customHeight="1" thickBot="1" x14ac:dyDescent="0.3">
      <c r="B63" s="235" t="s">
        <v>89</v>
      </c>
      <c r="C63" s="236"/>
      <c r="D63" s="237"/>
      <c r="E63" s="317" t="s">
        <v>190</v>
      </c>
      <c r="F63" s="318" t="s">
        <v>406</v>
      </c>
    </row>
    <row r="64" spans="2:6" ht="18" customHeight="1" x14ac:dyDescent="0.25">
      <c r="B64" s="238"/>
      <c r="C64" s="237"/>
      <c r="D64" s="237"/>
      <c r="E64" s="322" t="s">
        <v>18</v>
      </c>
      <c r="F64" s="327"/>
    </row>
    <row r="65" spans="2:6" ht="18" customHeight="1" x14ac:dyDescent="0.25">
      <c r="B65" s="238"/>
      <c r="C65" s="237"/>
      <c r="D65" s="237"/>
      <c r="E65" s="323" t="s">
        <v>387</v>
      </c>
      <c r="F65" s="328"/>
    </row>
    <row r="66" spans="2:6" ht="20.25" customHeight="1" thickBot="1" x14ac:dyDescent="0.3">
      <c r="B66" s="239"/>
      <c r="C66" s="240"/>
      <c r="D66" s="321"/>
      <c r="E66" s="324" t="s">
        <v>386</v>
      </c>
      <c r="F66" s="329"/>
    </row>
    <row r="67" spans="2:6" ht="20.25" customHeight="1" x14ac:dyDescent="0.25"/>
    <row r="68" spans="2:6" ht="26.1" customHeight="1" x14ac:dyDescent="0.25"/>
    <row r="69" spans="2:6" ht="26.1" customHeight="1" x14ac:dyDescent="0.25"/>
    <row r="70" spans="2:6" ht="26.1" customHeight="1" x14ac:dyDescent="0.25"/>
    <row r="71" spans="2:6" ht="18.75" customHeight="1" x14ac:dyDescent="0.25"/>
    <row r="72" spans="2:6" ht="26.1" customHeight="1" x14ac:dyDescent="0.25"/>
    <row r="73" spans="2:6" ht="26.1" customHeight="1" x14ac:dyDescent="0.25"/>
    <row r="74" spans="2:6" ht="26.1" customHeight="1" x14ac:dyDescent="0.25"/>
    <row r="75" spans="2:6" ht="26.1" customHeight="1" x14ac:dyDescent="0.25"/>
    <row r="76" spans="2:6" ht="26.1" customHeight="1" x14ac:dyDescent="0.25"/>
    <row r="77" spans="2:6" ht="26.1" customHeight="1" x14ac:dyDescent="0.25"/>
    <row r="78" spans="2:6" ht="26.1" customHeight="1" x14ac:dyDescent="0.25"/>
    <row r="79" spans="2:6" ht="26.1" customHeight="1" x14ac:dyDescent="0.25"/>
    <row r="80" spans="2:6" ht="26.1" customHeight="1" x14ac:dyDescent="0.25"/>
    <row r="81" ht="26.1" customHeight="1" x14ac:dyDescent="0.25"/>
    <row r="82" ht="26.1" customHeight="1" x14ac:dyDescent="0.25"/>
    <row r="83" ht="26.1" customHeight="1" x14ac:dyDescent="0.25"/>
    <row r="84" ht="26.1" customHeight="1" x14ac:dyDescent="0.25"/>
    <row r="85" ht="26.1" customHeight="1" x14ac:dyDescent="0.25"/>
    <row r="86" ht="18" customHeight="1" x14ac:dyDescent="0.25"/>
    <row r="87" ht="18" customHeight="1" x14ac:dyDescent="0.25"/>
    <row r="88" ht="18" customHeight="1" x14ac:dyDescent="0.25"/>
    <row r="89" ht="18" customHeight="1" x14ac:dyDescent="0.25"/>
    <row r="90" ht="18" customHeight="1" x14ac:dyDescent="0.25"/>
    <row r="91" ht="18" customHeight="1" x14ac:dyDescent="0.25"/>
    <row r="92" ht="18" customHeight="1" x14ac:dyDescent="0.25"/>
    <row r="93" ht="18" customHeight="1" x14ac:dyDescent="0.25"/>
    <row r="94" ht="18" customHeight="1" x14ac:dyDescent="0.25"/>
    <row r="95" ht="18" customHeight="1" x14ac:dyDescent="0.25"/>
    <row r="96" ht="18" customHeight="1" x14ac:dyDescent="0.25"/>
    <row r="97" ht="18" customHeight="1" x14ac:dyDescent="0.25"/>
    <row r="98" ht="18" customHeight="1" x14ac:dyDescent="0.25"/>
    <row r="99" ht="18" customHeight="1" x14ac:dyDescent="0.25"/>
    <row r="100" ht="18" customHeight="1" x14ac:dyDescent="0.25"/>
    <row r="101" ht="18" customHeight="1" x14ac:dyDescent="0.25"/>
    <row r="102" ht="18" customHeight="1" x14ac:dyDescent="0.25"/>
    <row r="103" ht="18" customHeight="1" x14ac:dyDescent="0.25"/>
    <row r="104" ht="18" customHeight="1" x14ac:dyDescent="0.25"/>
    <row r="105" ht="18" customHeight="1" x14ac:dyDescent="0.25"/>
    <row r="106" ht="18" customHeight="1" x14ac:dyDescent="0.25"/>
    <row r="107" ht="18" customHeight="1" x14ac:dyDescent="0.25"/>
    <row r="108" ht="18" customHeight="1" x14ac:dyDescent="0.25"/>
    <row r="109" ht="18" customHeight="1" x14ac:dyDescent="0.25"/>
    <row r="110" ht="18" customHeight="1" x14ac:dyDescent="0.25"/>
    <row r="111" ht="18" customHeight="1" x14ac:dyDescent="0.25"/>
    <row r="112" ht="18" customHeight="1" x14ac:dyDescent="0.25"/>
    <row r="113" ht="18" customHeight="1" x14ac:dyDescent="0.25"/>
    <row r="114" ht="18" customHeight="1" x14ac:dyDescent="0.25"/>
    <row r="115" ht="18" customHeight="1" x14ac:dyDescent="0.25"/>
    <row r="116" ht="18" customHeight="1" x14ac:dyDescent="0.25"/>
    <row r="117" ht="18" customHeight="1" x14ac:dyDescent="0.25"/>
    <row r="118" ht="18" customHeight="1" x14ac:dyDescent="0.25"/>
    <row r="119" ht="18" customHeight="1" x14ac:dyDescent="0.25"/>
    <row r="120" ht="18" customHeight="1" x14ac:dyDescent="0.25"/>
    <row r="121" ht="18" customHeight="1" x14ac:dyDescent="0.25"/>
    <row r="122" ht="18" customHeight="1" x14ac:dyDescent="0.25"/>
    <row r="123" ht="18" customHeight="1" x14ac:dyDescent="0.25"/>
    <row r="124" ht="18" customHeight="1" x14ac:dyDescent="0.25"/>
    <row r="125" ht="18" customHeight="1" x14ac:dyDescent="0.25"/>
    <row r="126" ht="18" customHeight="1" x14ac:dyDescent="0.25"/>
    <row r="127" ht="18" customHeight="1" x14ac:dyDescent="0.25"/>
    <row r="128" ht="18" customHeight="1" x14ac:dyDescent="0.25"/>
    <row r="129" ht="18" customHeight="1" x14ac:dyDescent="0.25"/>
    <row r="130" ht="18" customHeight="1" x14ac:dyDescent="0.25"/>
    <row r="131" ht="18" customHeight="1" x14ac:dyDescent="0.25"/>
    <row r="132" ht="18" customHeight="1" x14ac:dyDescent="0.25"/>
    <row r="133" ht="18" customHeight="1" x14ac:dyDescent="0.25"/>
    <row r="134" ht="18" customHeight="1" x14ac:dyDescent="0.25"/>
    <row r="135" ht="18" customHeight="1" x14ac:dyDescent="0.25"/>
    <row r="136" ht="18" customHeight="1" x14ac:dyDescent="0.25"/>
    <row r="137" ht="18" customHeight="1" x14ac:dyDescent="0.25"/>
    <row r="138" ht="18" customHeight="1" x14ac:dyDescent="0.25"/>
    <row r="139" ht="18" customHeight="1" x14ac:dyDescent="0.25"/>
    <row r="140" ht="18" customHeight="1" x14ac:dyDescent="0.25"/>
    <row r="141" ht="18" customHeight="1" x14ac:dyDescent="0.25"/>
    <row r="142" ht="18" customHeight="1" x14ac:dyDescent="0.25"/>
    <row r="143" ht="18" customHeight="1" x14ac:dyDescent="0.25"/>
    <row r="144" ht="18" customHeight="1" x14ac:dyDescent="0.25"/>
    <row r="145" ht="18" customHeight="1" x14ac:dyDescent="0.25"/>
    <row r="146" ht="18" customHeight="1" x14ac:dyDescent="0.25"/>
    <row r="147" ht="18" customHeight="1" x14ac:dyDescent="0.25"/>
    <row r="148" ht="18" customHeight="1" x14ac:dyDescent="0.25"/>
    <row r="149" ht="18" customHeight="1" x14ac:dyDescent="0.25"/>
    <row r="150" ht="18" customHeight="1" x14ac:dyDescent="0.25"/>
    <row r="151" ht="18" customHeight="1" x14ac:dyDescent="0.25"/>
    <row r="152" ht="18" customHeight="1" x14ac:dyDescent="0.25"/>
    <row r="153" ht="18" customHeight="1" x14ac:dyDescent="0.25"/>
    <row r="154" ht="18" customHeight="1" x14ac:dyDescent="0.25"/>
    <row r="155" ht="18" customHeight="1" x14ac:dyDescent="0.25"/>
    <row r="156" ht="18" customHeight="1" x14ac:dyDescent="0.25"/>
    <row r="157" ht="18" customHeight="1" x14ac:dyDescent="0.25"/>
    <row r="158" ht="18" customHeight="1" x14ac:dyDescent="0.25"/>
    <row r="159" ht="18" customHeight="1" x14ac:dyDescent="0.25"/>
    <row r="160" ht="18" customHeight="1" x14ac:dyDescent="0.25"/>
    <row r="161" ht="18" customHeight="1" x14ac:dyDescent="0.25"/>
    <row r="162" ht="18" customHeight="1" x14ac:dyDescent="0.25"/>
    <row r="163" ht="18" customHeight="1" x14ac:dyDescent="0.25"/>
    <row r="164" ht="18" customHeight="1" x14ac:dyDescent="0.25"/>
    <row r="165" ht="18" customHeight="1" x14ac:dyDescent="0.25"/>
    <row r="166" ht="18" customHeight="1" x14ac:dyDescent="0.25"/>
    <row r="167" ht="18" customHeight="1" x14ac:dyDescent="0.25"/>
    <row r="168" ht="18" customHeight="1" x14ac:dyDescent="0.25"/>
    <row r="169" ht="18" customHeight="1" x14ac:dyDescent="0.25"/>
    <row r="170" ht="18" customHeight="1" x14ac:dyDescent="0.25"/>
    <row r="171" ht="18" customHeight="1" x14ac:dyDescent="0.25"/>
    <row r="172" ht="18" customHeight="1" x14ac:dyDescent="0.25"/>
    <row r="173" ht="18" customHeight="1" x14ac:dyDescent="0.25"/>
    <row r="174" ht="18" customHeight="1" x14ac:dyDescent="0.25"/>
    <row r="175" ht="18" customHeight="1" x14ac:dyDescent="0.25"/>
    <row r="176" ht="18" customHeight="1" x14ac:dyDescent="0.25"/>
    <row r="177" ht="18" customHeight="1" x14ac:dyDescent="0.25"/>
    <row r="178" ht="18" customHeight="1" x14ac:dyDescent="0.25"/>
    <row r="179" ht="18" customHeight="1" x14ac:dyDescent="0.25"/>
    <row r="180" ht="18" customHeight="1" x14ac:dyDescent="0.25"/>
    <row r="181" ht="18" customHeight="1" x14ac:dyDescent="0.25"/>
    <row r="182" ht="18" customHeight="1" x14ac:dyDescent="0.25"/>
    <row r="183" ht="18" customHeight="1" x14ac:dyDescent="0.25"/>
    <row r="184" ht="18" customHeight="1" x14ac:dyDescent="0.25"/>
    <row r="185" ht="18" customHeight="1" x14ac:dyDescent="0.25"/>
    <row r="186" ht="18" customHeight="1" x14ac:dyDescent="0.25"/>
    <row r="187" ht="18" customHeight="1" x14ac:dyDescent="0.25"/>
    <row r="188" ht="18" customHeight="1" x14ac:dyDescent="0.25"/>
    <row r="189" ht="18" customHeight="1" x14ac:dyDescent="0.25"/>
    <row r="190" ht="18" customHeight="1" x14ac:dyDescent="0.25"/>
    <row r="191" ht="18" customHeight="1" x14ac:dyDescent="0.25"/>
    <row r="192" ht="18" customHeight="1" x14ac:dyDescent="0.25"/>
    <row r="193" ht="18" customHeight="1" x14ac:dyDescent="0.25"/>
    <row r="194" ht="18" customHeight="1" x14ac:dyDescent="0.25"/>
    <row r="195" ht="18" customHeight="1" x14ac:dyDescent="0.25"/>
    <row r="196" ht="18" customHeight="1" x14ac:dyDescent="0.25"/>
    <row r="197" ht="18" customHeight="1" x14ac:dyDescent="0.25"/>
    <row r="198" ht="18" customHeight="1" x14ac:dyDescent="0.25"/>
    <row r="199" ht="18" customHeight="1" x14ac:dyDescent="0.25"/>
    <row r="200" ht="18" customHeight="1" x14ac:dyDescent="0.25"/>
    <row r="201" ht="18" customHeight="1" x14ac:dyDescent="0.25"/>
    <row r="202" ht="18" customHeight="1" x14ac:dyDescent="0.25"/>
    <row r="203" ht="18" customHeight="1" x14ac:dyDescent="0.25"/>
    <row r="204" ht="18" customHeight="1" x14ac:dyDescent="0.25"/>
    <row r="205" ht="18" customHeight="1" x14ac:dyDescent="0.25"/>
    <row r="206" ht="18" customHeight="1" x14ac:dyDescent="0.25"/>
    <row r="207" ht="18" customHeight="1" x14ac:dyDescent="0.25"/>
    <row r="208" ht="18" customHeight="1" x14ac:dyDescent="0.25"/>
    <row r="209" ht="18" customHeight="1" x14ac:dyDescent="0.25"/>
    <row r="210" ht="18" customHeight="1" x14ac:dyDescent="0.25"/>
    <row r="211" ht="18" customHeight="1" x14ac:dyDescent="0.25"/>
    <row r="212" ht="18" customHeight="1" x14ac:dyDescent="0.25"/>
    <row r="213" ht="18" customHeight="1" x14ac:dyDescent="0.25"/>
    <row r="214" ht="18" customHeight="1" x14ac:dyDescent="0.25"/>
    <row r="215" ht="18" customHeight="1" x14ac:dyDescent="0.25"/>
    <row r="216" ht="18" customHeight="1" x14ac:dyDescent="0.25"/>
    <row r="217" ht="18" customHeight="1" x14ac:dyDescent="0.25"/>
    <row r="218" ht="18" customHeight="1" x14ac:dyDescent="0.25"/>
    <row r="219" ht="18" customHeight="1" x14ac:dyDescent="0.25"/>
    <row r="220" ht="18" customHeight="1" x14ac:dyDescent="0.25"/>
    <row r="221" ht="18" customHeight="1" x14ac:dyDescent="0.25"/>
    <row r="222" ht="18" customHeight="1" x14ac:dyDescent="0.25"/>
    <row r="223" ht="18" customHeight="1" x14ac:dyDescent="0.25"/>
    <row r="224" ht="18" customHeight="1" x14ac:dyDescent="0.25"/>
    <row r="225" ht="18" customHeight="1" x14ac:dyDescent="0.25"/>
    <row r="226" ht="18" customHeight="1" x14ac:dyDescent="0.25"/>
    <row r="227" ht="18" customHeight="1" x14ac:dyDescent="0.25"/>
    <row r="228" ht="18" customHeight="1" x14ac:dyDescent="0.25"/>
    <row r="229" ht="18" customHeight="1" x14ac:dyDescent="0.25"/>
    <row r="230" ht="18" customHeight="1" x14ac:dyDescent="0.25"/>
    <row r="231" ht="18" customHeight="1" x14ac:dyDescent="0.25"/>
    <row r="232" ht="18" customHeight="1" x14ac:dyDescent="0.25"/>
    <row r="233" ht="18" customHeight="1" x14ac:dyDescent="0.25"/>
    <row r="234" ht="18" customHeight="1" x14ac:dyDescent="0.25"/>
    <row r="235" ht="18" customHeight="1" x14ac:dyDescent="0.25"/>
    <row r="236" ht="18" customHeight="1" x14ac:dyDescent="0.25"/>
    <row r="237" ht="18" customHeight="1" x14ac:dyDescent="0.25"/>
    <row r="238" ht="18" customHeight="1" x14ac:dyDescent="0.25"/>
    <row r="239" ht="18" customHeight="1" x14ac:dyDescent="0.25"/>
    <row r="240" ht="18" customHeight="1" x14ac:dyDescent="0.25"/>
    <row r="241" ht="18" customHeight="1" x14ac:dyDescent="0.25"/>
    <row r="242" ht="18" customHeight="1" x14ac:dyDescent="0.25"/>
    <row r="243" ht="18" customHeight="1" x14ac:dyDescent="0.25"/>
    <row r="244" ht="18" customHeight="1" x14ac:dyDescent="0.25"/>
    <row r="245" ht="18" customHeight="1" x14ac:dyDescent="0.25"/>
    <row r="246" ht="18" customHeight="1" x14ac:dyDescent="0.25"/>
    <row r="247" ht="18" customHeight="1" x14ac:dyDescent="0.25"/>
    <row r="248" ht="18" customHeight="1" x14ac:dyDescent="0.25"/>
    <row r="249" ht="18" customHeight="1" x14ac:dyDescent="0.25"/>
    <row r="250" ht="18" customHeight="1" x14ac:dyDescent="0.25"/>
    <row r="251" ht="18" customHeight="1" x14ac:dyDescent="0.25"/>
    <row r="252" ht="18" customHeight="1" x14ac:dyDescent="0.25"/>
    <row r="253" ht="18" customHeight="1" x14ac:dyDescent="0.25"/>
    <row r="254" ht="18" customHeight="1" x14ac:dyDescent="0.25"/>
    <row r="255" ht="18" customHeight="1" x14ac:dyDescent="0.25"/>
    <row r="256" ht="18" customHeight="1" x14ac:dyDescent="0.25"/>
    <row r="257" ht="18" customHeight="1" x14ac:dyDescent="0.25"/>
    <row r="258" ht="18" customHeight="1" x14ac:dyDescent="0.25"/>
    <row r="259" ht="18" customHeight="1" x14ac:dyDescent="0.25"/>
    <row r="260" ht="18" customHeight="1" x14ac:dyDescent="0.25"/>
    <row r="261" ht="18" customHeight="1" x14ac:dyDescent="0.25"/>
    <row r="262" ht="18" customHeight="1" x14ac:dyDescent="0.25"/>
    <row r="263" ht="18" customHeight="1" x14ac:dyDescent="0.25"/>
    <row r="264" ht="18" customHeight="1" x14ac:dyDescent="0.25"/>
    <row r="265" ht="18" customHeight="1" x14ac:dyDescent="0.25"/>
    <row r="266" ht="18" customHeight="1" x14ac:dyDescent="0.25"/>
    <row r="267" ht="18" customHeight="1" x14ac:dyDescent="0.25"/>
    <row r="268" ht="18" customHeight="1" x14ac:dyDescent="0.25"/>
    <row r="269" ht="18" customHeight="1" x14ac:dyDescent="0.25"/>
    <row r="270" ht="18" customHeight="1" x14ac:dyDescent="0.25"/>
    <row r="271" ht="18" customHeight="1" x14ac:dyDescent="0.25"/>
    <row r="272" ht="18" customHeight="1" x14ac:dyDescent="0.25"/>
    <row r="273" ht="18" customHeight="1" x14ac:dyDescent="0.25"/>
    <row r="274" ht="18" customHeight="1" x14ac:dyDescent="0.25"/>
    <row r="275" ht="18" customHeight="1" x14ac:dyDescent="0.25"/>
    <row r="276" ht="18" customHeight="1" x14ac:dyDescent="0.25"/>
    <row r="277" ht="18" customHeight="1" x14ac:dyDescent="0.25"/>
    <row r="278" ht="18" customHeight="1" x14ac:dyDescent="0.25"/>
    <row r="279" ht="18" customHeight="1" x14ac:dyDescent="0.25"/>
    <row r="280" ht="18" customHeight="1" x14ac:dyDescent="0.25"/>
    <row r="281" ht="18" customHeight="1" x14ac:dyDescent="0.25"/>
    <row r="282" ht="18" customHeight="1" x14ac:dyDescent="0.25"/>
    <row r="283" ht="18" customHeight="1" x14ac:dyDescent="0.25"/>
    <row r="284" ht="18" customHeight="1" x14ac:dyDescent="0.25"/>
    <row r="285" ht="18" customHeight="1" x14ac:dyDescent="0.25"/>
    <row r="286" ht="18" customHeight="1" x14ac:dyDescent="0.25"/>
    <row r="287" ht="18" customHeight="1" x14ac:dyDescent="0.25"/>
    <row r="288" ht="18" customHeight="1" x14ac:dyDescent="0.25"/>
    <row r="289" ht="18" customHeight="1" x14ac:dyDescent="0.25"/>
    <row r="290" ht="18" customHeight="1" x14ac:dyDescent="0.25"/>
    <row r="291" ht="18" customHeight="1" x14ac:dyDescent="0.25"/>
    <row r="292" ht="18" customHeight="1" x14ac:dyDescent="0.25"/>
    <row r="293" ht="18" customHeight="1" x14ac:dyDescent="0.25"/>
    <row r="294" ht="18" customHeight="1" x14ac:dyDescent="0.25"/>
    <row r="295" ht="18" customHeight="1" x14ac:dyDescent="0.25"/>
    <row r="296" ht="18" customHeight="1" x14ac:dyDescent="0.25"/>
    <row r="297" ht="18" customHeight="1" x14ac:dyDescent="0.25"/>
    <row r="298" ht="18" customHeight="1" x14ac:dyDescent="0.25"/>
    <row r="299" ht="18" customHeight="1" x14ac:dyDescent="0.25"/>
    <row r="300" ht="18" customHeight="1" x14ac:dyDescent="0.25"/>
    <row r="301" ht="18" customHeight="1" x14ac:dyDescent="0.25"/>
    <row r="302" ht="18" customHeight="1" x14ac:dyDescent="0.25"/>
    <row r="303" ht="18" customHeight="1" x14ac:dyDescent="0.25"/>
    <row r="304" ht="18" customHeight="1" x14ac:dyDescent="0.25"/>
    <row r="305" ht="18" customHeight="1" x14ac:dyDescent="0.25"/>
    <row r="306" ht="18" customHeight="1" x14ac:dyDescent="0.25"/>
    <row r="307" ht="18" customHeight="1" x14ac:dyDescent="0.25"/>
    <row r="308" ht="18" customHeight="1" x14ac:dyDescent="0.25"/>
    <row r="309" ht="18" customHeight="1" x14ac:dyDescent="0.25"/>
    <row r="310" ht="18" customHeight="1" x14ac:dyDescent="0.25"/>
    <row r="311" ht="18" customHeight="1" x14ac:dyDescent="0.25"/>
    <row r="312" ht="18" customHeight="1" x14ac:dyDescent="0.25"/>
    <row r="313" ht="18" customHeight="1" x14ac:dyDescent="0.25"/>
    <row r="314" ht="18" customHeight="1" x14ac:dyDescent="0.25"/>
    <row r="315" ht="18" customHeight="1" x14ac:dyDescent="0.25"/>
    <row r="316" ht="18" customHeight="1" x14ac:dyDescent="0.25"/>
    <row r="317" ht="18" customHeight="1" x14ac:dyDescent="0.25"/>
    <row r="318" ht="18" customHeight="1" x14ac:dyDescent="0.25"/>
    <row r="319" ht="18" customHeight="1" x14ac:dyDescent="0.25"/>
    <row r="320" ht="18" customHeight="1" x14ac:dyDescent="0.25"/>
    <row r="321" ht="18" customHeight="1" x14ac:dyDescent="0.25"/>
    <row r="322" ht="18" customHeight="1" x14ac:dyDescent="0.25"/>
    <row r="323" ht="18" customHeight="1" x14ac:dyDescent="0.25"/>
    <row r="324" ht="18" customHeight="1" x14ac:dyDescent="0.25"/>
    <row r="325" ht="18" customHeight="1" x14ac:dyDescent="0.25"/>
    <row r="326" ht="18" customHeight="1" x14ac:dyDescent="0.25"/>
    <row r="327" ht="18" customHeight="1" x14ac:dyDescent="0.25"/>
    <row r="328" ht="18" customHeight="1" x14ac:dyDescent="0.25"/>
    <row r="329" ht="18" customHeight="1" x14ac:dyDescent="0.25"/>
    <row r="330" ht="18" customHeight="1" x14ac:dyDescent="0.25"/>
    <row r="331" ht="18" customHeight="1" x14ac:dyDescent="0.25"/>
    <row r="332" ht="18" customHeight="1" x14ac:dyDescent="0.25"/>
    <row r="333" ht="18" customHeight="1" x14ac:dyDescent="0.25"/>
    <row r="334" ht="18" customHeight="1" x14ac:dyDescent="0.25"/>
    <row r="335" ht="18" customHeight="1" x14ac:dyDescent="0.25"/>
    <row r="336" ht="18" customHeight="1" x14ac:dyDescent="0.25"/>
    <row r="337" ht="18" customHeight="1" x14ac:dyDescent="0.25"/>
    <row r="338" ht="18" customHeight="1" x14ac:dyDescent="0.25"/>
    <row r="339" ht="18" customHeight="1" x14ac:dyDescent="0.25"/>
    <row r="340" ht="18" customHeight="1" x14ac:dyDescent="0.25"/>
    <row r="341" ht="18" customHeight="1" x14ac:dyDescent="0.25"/>
    <row r="342" ht="18" customHeight="1" x14ac:dyDescent="0.25"/>
    <row r="343" ht="18" customHeight="1" x14ac:dyDescent="0.25"/>
    <row r="344" ht="18" customHeight="1" x14ac:dyDescent="0.25"/>
    <row r="345" ht="18" customHeight="1" x14ac:dyDescent="0.25"/>
    <row r="346" ht="18" customHeight="1" x14ac:dyDescent="0.25"/>
    <row r="347" ht="18" customHeight="1" x14ac:dyDescent="0.25"/>
    <row r="348" ht="18" customHeight="1" x14ac:dyDescent="0.25"/>
    <row r="349" ht="18" customHeight="1" x14ac:dyDescent="0.25"/>
    <row r="350" ht="18" customHeight="1" x14ac:dyDescent="0.25"/>
    <row r="351" ht="18" customHeight="1" x14ac:dyDescent="0.25"/>
    <row r="352" ht="18" customHeight="1" x14ac:dyDescent="0.25"/>
    <row r="353" ht="18" customHeight="1" x14ac:dyDescent="0.25"/>
    <row r="354" ht="18" customHeight="1" x14ac:dyDescent="0.25"/>
    <row r="355" ht="18" customHeight="1" x14ac:dyDescent="0.25"/>
    <row r="356" ht="18" customHeight="1" x14ac:dyDescent="0.25"/>
    <row r="357" ht="18" customHeight="1" x14ac:dyDescent="0.25"/>
    <row r="358" ht="18" customHeight="1" x14ac:dyDescent="0.25"/>
    <row r="359" ht="18" customHeight="1" x14ac:dyDescent="0.25"/>
    <row r="360" ht="18" customHeight="1" x14ac:dyDescent="0.25"/>
    <row r="361" ht="18" customHeight="1" x14ac:dyDescent="0.25"/>
    <row r="362" ht="18" customHeight="1" x14ac:dyDescent="0.25"/>
    <row r="363" ht="18" customHeight="1" x14ac:dyDescent="0.25"/>
    <row r="364" ht="18" customHeight="1" x14ac:dyDescent="0.25"/>
    <row r="365" ht="18" customHeight="1" x14ac:dyDescent="0.25"/>
    <row r="366" ht="18" customHeight="1" x14ac:dyDescent="0.25"/>
    <row r="367" ht="18" customHeight="1" x14ac:dyDescent="0.25"/>
    <row r="368" ht="18" customHeight="1" x14ac:dyDescent="0.25"/>
    <row r="369" ht="18" customHeight="1" x14ac:dyDescent="0.25"/>
    <row r="370" ht="18" customHeight="1" x14ac:dyDescent="0.25"/>
    <row r="371" ht="18" customHeight="1" x14ac:dyDescent="0.25"/>
    <row r="372" ht="18" customHeight="1" x14ac:dyDescent="0.25"/>
    <row r="373" ht="18" customHeight="1" x14ac:dyDescent="0.25"/>
    <row r="374" ht="18" customHeight="1" x14ac:dyDescent="0.25"/>
    <row r="375" ht="18" customHeight="1" x14ac:dyDescent="0.25"/>
    <row r="376" ht="18" customHeight="1" x14ac:dyDescent="0.25"/>
    <row r="377" ht="18" customHeight="1" x14ac:dyDescent="0.25"/>
    <row r="378" ht="18" customHeight="1" x14ac:dyDescent="0.25"/>
    <row r="379" ht="18" customHeight="1" x14ac:dyDescent="0.25"/>
    <row r="380" ht="18" customHeight="1" x14ac:dyDescent="0.25"/>
    <row r="381" ht="18" customHeight="1" x14ac:dyDescent="0.25"/>
    <row r="382" ht="18" customHeight="1" x14ac:dyDescent="0.25"/>
    <row r="383" ht="18" customHeight="1" x14ac:dyDescent="0.25"/>
    <row r="384" ht="18" customHeight="1" x14ac:dyDescent="0.25"/>
    <row r="385" ht="18" customHeight="1" x14ac:dyDescent="0.25"/>
    <row r="386" ht="18" customHeight="1" x14ac:dyDescent="0.25"/>
    <row r="387" ht="18" customHeight="1" x14ac:dyDescent="0.25"/>
    <row r="388" ht="18" customHeight="1" x14ac:dyDescent="0.25"/>
    <row r="389" ht="18" customHeight="1" x14ac:dyDescent="0.25"/>
    <row r="390" ht="18" customHeight="1" x14ac:dyDescent="0.25"/>
    <row r="391" ht="18" customHeight="1" x14ac:dyDescent="0.25"/>
    <row r="392" ht="18" customHeight="1" x14ac:dyDescent="0.25"/>
    <row r="393" ht="18" customHeight="1" x14ac:dyDescent="0.25"/>
    <row r="394" ht="18" customHeight="1" x14ac:dyDescent="0.25"/>
    <row r="395" ht="18" customHeight="1" x14ac:dyDescent="0.25"/>
    <row r="396" ht="18" customHeight="1" x14ac:dyDescent="0.25"/>
    <row r="397" ht="18" customHeight="1" x14ac:dyDescent="0.25"/>
    <row r="398" ht="18" customHeight="1" x14ac:dyDescent="0.25"/>
    <row r="399" ht="18" customHeight="1" x14ac:dyDescent="0.25"/>
    <row r="400" ht="18" customHeight="1" x14ac:dyDescent="0.25"/>
    <row r="401" ht="18" customHeight="1" x14ac:dyDescent="0.25"/>
    <row r="402" ht="18" customHeight="1" x14ac:dyDescent="0.25"/>
    <row r="403" ht="18" customHeight="1" x14ac:dyDescent="0.25"/>
    <row r="404" ht="18" customHeight="1" x14ac:dyDescent="0.25"/>
    <row r="405" ht="18" customHeight="1" x14ac:dyDescent="0.25"/>
    <row r="406" ht="18" customHeight="1" x14ac:dyDescent="0.25"/>
    <row r="407" ht="18" customHeight="1" x14ac:dyDescent="0.25"/>
    <row r="408" ht="18" customHeight="1" x14ac:dyDescent="0.25"/>
    <row r="409" ht="18" customHeight="1" x14ac:dyDescent="0.25"/>
    <row r="410" ht="18" customHeight="1" x14ac:dyDescent="0.25"/>
    <row r="411" ht="18" customHeight="1" x14ac:dyDescent="0.25"/>
    <row r="412" ht="18" customHeight="1" x14ac:dyDescent="0.25"/>
    <row r="413" ht="18" customHeight="1" x14ac:dyDescent="0.25"/>
    <row r="414" ht="18" customHeight="1" x14ac:dyDescent="0.25"/>
    <row r="415" ht="18" customHeight="1" x14ac:dyDescent="0.25"/>
    <row r="416" ht="18" customHeight="1" x14ac:dyDescent="0.25"/>
    <row r="417" ht="18" customHeight="1" x14ac:dyDescent="0.25"/>
    <row r="418" ht="18" customHeight="1" x14ac:dyDescent="0.25"/>
    <row r="419" ht="18" customHeight="1" x14ac:dyDescent="0.25"/>
    <row r="420" ht="18" customHeight="1" x14ac:dyDescent="0.25"/>
    <row r="421" ht="18" customHeight="1" x14ac:dyDescent="0.25"/>
    <row r="422" ht="18" customHeight="1" x14ac:dyDescent="0.25"/>
    <row r="423" ht="18" customHeight="1" x14ac:dyDescent="0.25"/>
    <row r="424" ht="18" customHeight="1" x14ac:dyDescent="0.25"/>
    <row r="425" ht="18" customHeight="1" x14ac:dyDescent="0.25"/>
    <row r="426" ht="18" customHeight="1" x14ac:dyDescent="0.25"/>
    <row r="427" ht="18" customHeight="1" x14ac:dyDescent="0.25"/>
    <row r="428" ht="18" customHeight="1" x14ac:dyDescent="0.25"/>
    <row r="429" ht="18" customHeight="1" x14ac:dyDescent="0.25"/>
    <row r="430" ht="18" customHeight="1" x14ac:dyDescent="0.25"/>
    <row r="431" ht="18" customHeight="1" x14ac:dyDescent="0.25"/>
    <row r="432" ht="18" customHeight="1" x14ac:dyDescent="0.25"/>
    <row r="433" ht="18" customHeight="1" x14ac:dyDescent="0.25"/>
    <row r="434" ht="18" customHeight="1" x14ac:dyDescent="0.25"/>
    <row r="435" ht="18" customHeight="1" x14ac:dyDescent="0.25"/>
    <row r="436" ht="18" customHeight="1" x14ac:dyDescent="0.25"/>
    <row r="437" ht="18" customHeight="1" x14ac:dyDescent="0.25"/>
    <row r="438" ht="18" customHeight="1" x14ac:dyDescent="0.25"/>
    <row r="439" ht="18" customHeight="1" x14ac:dyDescent="0.25"/>
    <row r="440" ht="18" customHeight="1" x14ac:dyDescent="0.25"/>
    <row r="441" ht="18" customHeight="1" x14ac:dyDescent="0.25"/>
    <row r="442" ht="18" customHeight="1" x14ac:dyDescent="0.25"/>
    <row r="443" ht="18" customHeight="1" x14ac:dyDescent="0.25"/>
    <row r="444" ht="18" customHeight="1" x14ac:dyDescent="0.25"/>
    <row r="445" ht="18" customHeight="1" x14ac:dyDescent="0.25"/>
    <row r="446" ht="18" customHeight="1" x14ac:dyDescent="0.25"/>
    <row r="447" ht="18" customHeight="1" x14ac:dyDescent="0.25"/>
    <row r="448" ht="18" customHeight="1" x14ac:dyDescent="0.25"/>
    <row r="449" ht="18" customHeight="1" x14ac:dyDescent="0.25"/>
    <row r="450" ht="18" customHeight="1" x14ac:dyDescent="0.25"/>
    <row r="451" ht="18" customHeight="1" x14ac:dyDescent="0.25"/>
    <row r="452" ht="18" customHeight="1" x14ac:dyDescent="0.25"/>
    <row r="453" ht="18" customHeight="1" x14ac:dyDescent="0.25"/>
    <row r="454" ht="18" customHeight="1" x14ac:dyDescent="0.25"/>
    <row r="455" ht="18" customHeight="1" x14ac:dyDescent="0.25"/>
    <row r="456" ht="18" customHeight="1" x14ac:dyDescent="0.25"/>
    <row r="457" ht="18" customHeight="1" x14ac:dyDescent="0.25"/>
    <row r="458" ht="18" customHeight="1" x14ac:dyDescent="0.25"/>
    <row r="459" ht="18" customHeight="1" x14ac:dyDescent="0.25"/>
    <row r="460" ht="18" customHeight="1" x14ac:dyDescent="0.25"/>
    <row r="461" ht="18" customHeight="1" x14ac:dyDescent="0.25"/>
    <row r="462" ht="18" customHeight="1" x14ac:dyDescent="0.25"/>
    <row r="463" ht="18" customHeight="1" x14ac:dyDescent="0.25"/>
    <row r="464" ht="18" customHeight="1" x14ac:dyDescent="0.25"/>
    <row r="465" ht="18" customHeight="1" x14ac:dyDescent="0.25"/>
    <row r="466" ht="18" customHeight="1" x14ac:dyDescent="0.25"/>
    <row r="467" ht="18" customHeight="1" x14ac:dyDescent="0.25"/>
    <row r="468" ht="18" customHeight="1" x14ac:dyDescent="0.25"/>
    <row r="469" ht="18" customHeight="1" x14ac:dyDescent="0.25"/>
    <row r="470" ht="18" customHeight="1" x14ac:dyDescent="0.25"/>
    <row r="471" ht="18" customHeight="1" x14ac:dyDescent="0.25"/>
    <row r="472" ht="18" customHeight="1" x14ac:dyDescent="0.25"/>
    <row r="473" ht="18" customHeight="1" x14ac:dyDescent="0.25"/>
    <row r="474" ht="18" customHeight="1" x14ac:dyDescent="0.25"/>
    <row r="475" ht="18" customHeight="1" x14ac:dyDescent="0.25"/>
    <row r="476" ht="18" customHeight="1" x14ac:dyDescent="0.25"/>
    <row r="477" ht="18" customHeight="1" x14ac:dyDescent="0.25"/>
    <row r="478" ht="18" customHeight="1" x14ac:dyDescent="0.25"/>
    <row r="479" ht="18" customHeight="1" x14ac:dyDescent="0.25"/>
    <row r="480" ht="18" customHeight="1" x14ac:dyDescent="0.25"/>
    <row r="481" ht="18" customHeight="1" x14ac:dyDescent="0.25"/>
    <row r="482" ht="18" customHeight="1" x14ac:dyDescent="0.25"/>
    <row r="483" ht="18" customHeight="1" x14ac:dyDescent="0.25"/>
    <row r="484" ht="18" customHeight="1" x14ac:dyDescent="0.25"/>
    <row r="485" ht="18" customHeight="1" x14ac:dyDescent="0.25"/>
    <row r="486" ht="18" customHeight="1" x14ac:dyDescent="0.25"/>
    <row r="487" ht="18" customHeight="1" x14ac:dyDescent="0.25"/>
    <row r="488" ht="18" customHeight="1" x14ac:dyDescent="0.25"/>
    <row r="489" ht="18" customHeight="1" x14ac:dyDescent="0.25"/>
    <row r="490" ht="18" customHeight="1" x14ac:dyDescent="0.25"/>
    <row r="491" ht="18" customHeight="1" x14ac:dyDescent="0.25"/>
    <row r="492" ht="18" customHeight="1" x14ac:dyDescent="0.25"/>
    <row r="493" ht="18" customHeight="1" x14ac:dyDescent="0.25"/>
    <row r="494" ht="18" customHeight="1" x14ac:dyDescent="0.25"/>
    <row r="495" ht="18" customHeight="1" x14ac:dyDescent="0.25"/>
    <row r="496" ht="18" customHeight="1" x14ac:dyDescent="0.25"/>
    <row r="497" ht="18" customHeight="1" x14ac:dyDescent="0.25"/>
  </sheetData>
  <sheetProtection selectLockedCells="1"/>
  <dataConsolidate/>
  <mergeCells count="25">
    <mergeCell ref="C3:D3"/>
    <mergeCell ref="C6:D6"/>
    <mergeCell ref="E9:F9"/>
    <mergeCell ref="D43:F43"/>
    <mergeCell ref="E57:F57"/>
    <mergeCell ref="C4:D4"/>
    <mergeCell ref="C5:D5"/>
    <mergeCell ref="C7:D7"/>
    <mergeCell ref="C29:F29"/>
    <mergeCell ref="C28:D28"/>
    <mergeCell ref="E28:F28"/>
    <mergeCell ref="B11:D18"/>
    <mergeCell ref="E12:F18"/>
    <mergeCell ref="D35:F35"/>
    <mergeCell ref="C32:F32"/>
    <mergeCell ref="B19:B20"/>
    <mergeCell ref="G5:J5"/>
    <mergeCell ref="D62:F62"/>
    <mergeCell ref="E61:F61"/>
    <mergeCell ref="E60:F60"/>
    <mergeCell ref="E59:F59"/>
    <mergeCell ref="B36:D42"/>
    <mergeCell ref="E45:F47"/>
    <mergeCell ref="B44:D47"/>
    <mergeCell ref="E38:F42"/>
  </mergeCells>
  <phoneticPr fontId="0" type="noConversion"/>
  <conditionalFormatting sqref="C3">
    <cfRule type="expression" dxfId="86" priority="140" stopIfTrue="1">
      <formula>$C$3=""</formula>
    </cfRule>
  </conditionalFormatting>
  <conditionalFormatting sqref="D19">
    <cfRule type="expression" dxfId="85" priority="120" stopIfTrue="1">
      <formula>$D$19=""</formula>
    </cfRule>
  </conditionalFormatting>
  <conditionalFormatting sqref="D20">
    <cfRule type="expression" dxfId="84" priority="119" stopIfTrue="1">
      <formula>$D$20=""</formula>
    </cfRule>
  </conditionalFormatting>
  <conditionalFormatting sqref="F19">
    <cfRule type="expression" dxfId="83" priority="118" stopIfTrue="1">
      <formula>$F$19=""</formula>
    </cfRule>
  </conditionalFormatting>
  <conditionalFormatting sqref="F20">
    <cfRule type="expression" dxfId="82" priority="117" stopIfTrue="1">
      <formula>$F$20=""</formula>
    </cfRule>
  </conditionalFormatting>
  <conditionalFormatting sqref="F21">
    <cfRule type="expression" dxfId="81" priority="116" stopIfTrue="1">
      <formula>$F$21=""</formula>
    </cfRule>
  </conditionalFormatting>
  <conditionalFormatting sqref="D21">
    <cfRule type="expression" dxfId="80" priority="115" stopIfTrue="1">
      <formula>$D$21=""</formula>
    </cfRule>
  </conditionalFormatting>
  <conditionalFormatting sqref="D22">
    <cfRule type="expression" dxfId="79" priority="113" stopIfTrue="1">
      <formula>AND($C$22="Other:",$D$22="")</formula>
    </cfRule>
  </conditionalFormatting>
  <conditionalFormatting sqref="D25">
    <cfRule type="expression" dxfId="78" priority="109" stopIfTrue="1">
      <formula>AND($C$25="Other:",$D$25="")</formula>
    </cfRule>
  </conditionalFormatting>
  <conditionalFormatting sqref="D26">
    <cfRule type="expression" dxfId="77" priority="107" stopIfTrue="1">
      <formula>AND($C$26="Other:",$D$26="")</formula>
    </cfRule>
  </conditionalFormatting>
  <conditionalFormatting sqref="D27">
    <cfRule type="expression" dxfId="76" priority="105" stopIfTrue="1">
      <formula>AND($C$27="Other:",$D$27="")</formula>
    </cfRule>
  </conditionalFormatting>
  <conditionalFormatting sqref="D30">
    <cfRule type="expression" dxfId="75" priority="104" stopIfTrue="1">
      <formula>$D$30=""</formula>
    </cfRule>
  </conditionalFormatting>
  <conditionalFormatting sqref="F30">
    <cfRule type="expression" dxfId="74" priority="103" stopIfTrue="1">
      <formula>$F$30=""</formula>
    </cfRule>
  </conditionalFormatting>
  <conditionalFormatting sqref="C34">
    <cfRule type="expression" dxfId="73" priority="98" stopIfTrue="1">
      <formula>$C$34=""</formula>
    </cfRule>
  </conditionalFormatting>
  <conditionalFormatting sqref="D48">
    <cfRule type="expression" dxfId="72" priority="95" stopIfTrue="1">
      <formula>$D$48=""</formula>
    </cfRule>
  </conditionalFormatting>
  <conditionalFormatting sqref="F48">
    <cfRule type="expression" dxfId="71" priority="94" stopIfTrue="1">
      <formula>AND($D$48="YES",$F$48="")</formula>
    </cfRule>
  </conditionalFormatting>
  <conditionalFormatting sqref="F49">
    <cfRule type="expression" dxfId="70" priority="91" stopIfTrue="1">
      <formula>$F$49=""</formula>
    </cfRule>
  </conditionalFormatting>
  <conditionalFormatting sqref="C50">
    <cfRule type="expression" dxfId="69" priority="90" stopIfTrue="1">
      <formula>$C$50=""</formula>
    </cfRule>
  </conditionalFormatting>
  <conditionalFormatting sqref="C51">
    <cfRule type="expression" dxfId="68" priority="89" stopIfTrue="1">
      <formula>$C$51=""</formula>
    </cfRule>
  </conditionalFormatting>
  <conditionalFormatting sqref="C52">
    <cfRule type="expression" dxfId="67" priority="88" stopIfTrue="1">
      <formula>$C$52=""</formula>
    </cfRule>
  </conditionalFormatting>
  <conditionalFormatting sqref="E50">
    <cfRule type="expression" dxfId="66" priority="86" stopIfTrue="1">
      <formula>$E$50=""</formula>
    </cfRule>
  </conditionalFormatting>
  <conditionalFormatting sqref="E51">
    <cfRule type="expression" dxfId="65" priority="85" stopIfTrue="1">
      <formula>$E$51=""</formula>
    </cfRule>
  </conditionalFormatting>
  <conditionalFormatting sqref="E52">
    <cfRule type="expression" dxfId="64" priority="84" stopIfTrue="1">
      <formula>$E$52=""</formula>
    </cfRule>
  </conditionalFormatting>
  <conditionalFormatting sqref="E53">
    <cfRule type="expression" dxfId="63" priority="83" stopIfTrue="1">
      <formula>$E$53=""</formula>
    </cfRule>
  </conditionalFormatting>
  <conditionalFormatting sqref="C54">
    <cfRule type="expression" dxfId="62" priority="82" stopIfTrue="1">
      <formula>$C$54=""</formula>
    </cfRule>
  </conditionalFormatting>
  <conditionalFormatting sqref="E54">
    <cfRule type="expression" dxfId="61" priority="81" stopIfTrue="1">
      <formula>$E$54=""</formula>
    </cfRule>
  </conditionalFormatting>
  <conditionalFormatting sqref="D56">
    <cfRule type="expression" dxfId="60" priority="80" stopIfTrue="1">
      <formula>$D$56=""</formula>
    </cfRule>
  </conditionalFormatting>
  <conditionalFormatting sqref="F56">
    <cfRule type="expression" dxfId="59" priority="79" stopIfTrue="1">
      <formula>$F$56=""</formula>
    </cfRule>
  </conditionalFormatting>
  <conditionalFormatting sqref="C57">
    <cfRule type="expression" dxfId="58" priority="78" stopIfTrue="1">
      <formula>$C$57=""</formula>
    </cfRule>
  </conditionalFormatting>
  <conditionalFormatting sqref="E57">
    <cfRule type="expression" dxfId="57" priority="77" stopIfTrue="1">
      <formula>AND($C$57="Stand Alone",$E$57="")</formula>
    </cfRule>
  </conditionalFormatting>
  <conditionalFormatting sqref="C58">
    <cfRule type="expression" dxfId="56" priority="76" stopIfTrue="1">
      <formula>$C$58=""</formula>
    </cfRule>
  </conditionalFormatting>
  <conditionalFormatting sqref="E58">
    <cfRule type="expression" dxfId="55" priority="75" stopIfTrue="1">
      <formula>$E$58=""</formula>
    </cfRule>
  </conditionalFormatting>
  <conditionalFormatting sqref="F58">
    <cfRule type="expression" dxfId="54" priority="74" stopIfTrue="1">
      <formula>AND($E$58="Other / Altro:",$F$58="")</formula>
    </cfRule>
  </conditionalFormatting>
  <conditionalFormatting sqref="C59">
    <cfRule type="expression" dxfId="53" priority="73" stopIfTrue="1">
      <formula>$C$59=""</formula>
    </cfRule>
  </conditionalFormatting>
  <conditionalFormatting sqref="E59:F59">
    <cfRule type="expression" dxfId="52" priority="72" stopIfTrue="1">
      <formula>AND($C$59="Altro / Other =",$E$59="")</formula>
    </cfRule>
  </conditionalFormatting>
  <conditionalFormatting sqref="C60">
    <cfRule type="expression" dxfId="51" priority="71" stopIfTrue="1">
      <formula>$C$60=""</formula>
    </cfRule>
  </conditionalFormatting>
  <conditionalFormatting sqref="E60:F60">
    <cfRule type="expression" dxfId="50" priority="69" stopIfTrue="1">
      <formula>AND($C$60="Altro / Other:",$E$60="")</formula>
    </cfRule>
  </conditionalFormatting>
  <conditionalFormatting sqref="C61">
    <cfRule type="expression" dxfId="49" priority="68" stopIfTrue="1">
      <formula>$C$61=""</formula>
    </cfRule>
  </conditionalFormatting>
  <conditionalFormatting sqref="E61:F61">
    <cfRule type="expression" dxfId="48" priority="66" stopIfTrue="1">
      <formula>AND($C$61="Altro / Other:",$E$61="")</formula>
    </cfRule>
  </conditionalFormatting>
  <conditionalFormatting sqref="C62">
    <cfRule type="expression" dxfId="47" priority="65" stopIfTrue="1">
      <formula>$C$62=""</formula>
    </cfRule>
  </conditionalFormatting>
  <conditionalFormatting sqref="D62:F62">
    <cfRule type="expression" dxfId="46" priority="63" stopIfTrue="1">
      <formula>AND($C$62="YES (See B.O.M. attached)",$D$62="")</formula>
    </cfRule>
  </conditionalFormatting>
  <conditionalFormatting sqref="C28:D28">
    <cfRule type="expression" dxfId="45" priority="61" stopIfTrue="1">
      <formula>$C$28=""</formula>
    </cfRule>
  </conditionalFormatting>
  <conditionalFormatting sqref="E28:F28">
    <cfRule type="expression" dxfId="44" priority="60" stopIfTrue="1">
      <formula>AND($C$28="Altro / Other :",$E$28="")</formula>
    </cfRule>
  </conditionalFormatting>
  <conditionalFormatting sqref="C5:D5">
    <cfRule type="expression" dxfId="43" priority="58" stopIfTrue="1">
      <formula>$C$5=""</formula>
    </cfRule>
  </conditionalFormatting>
  <conditionalFormatting sqref="C6">
    <cfRule type="expression" dxfId="42" priority="57" stopIfTrue="1">
      <formula>$C$6=""</formula>
    </cfRule>
  </conditionalFormatting>
  <conditionalFormatting sqref="F6">
    <cfRule type="expression" dxfId="41" priority="54" stopIfTrue="1">
      <formula>$F$6=""</formula>
    </cfRule>
  </conditionalFormatting>
  <conditionalFormatting sqref="F7">
    <cfRule type="expression" dxfId="40" priority="53" stopIfTrue="1">
      <formula>$F$7=""</formula>
    </cfRule>
  </conditionalFormatting>
  <conditionalFormatting sqref="F3">
    <cfRule type="expression" dxfId="39" priority="52" stopIfTrue="1">
      <formula>$F$3=""</formula>
    </cfRule>
  </conditionalFormatting>
  <conditionalFormatting sqref="C9">
    <cfRule type="expression" dxfId="38" priority="46" stopIfTrue="1">
      <formula>$C$9=""</formula>
    </cfRule>
  </conditionalFormatting>
  <conditionalFormatting sqref="D9">
    <cfRule type="expression" dxfId="37" priority="45" stopIfTrue="1">
      <formula>$D$9=""</formula>
    </cfRule>
  </conditionalFormatting>
  <conditionalFormatting sqref="C22">
    <cfRule type="expression" dxfId="36" priority="44" stopIfTrue="1">
      <formula>$C$22=""</formula>
    </cfRule>
  </conditionalFormatting>
  <conditionalFormatting sqref="C23">
    <cfRule type="expression" dxfId="35" priority="43" stopIfTrue="1">
      <formula>$C$23=""</formula>
    </cfRule>
  </conditionalFormatting>
  <conditionalFormatting sqref="C24">
    <cfRule type="expression" dxfId="34" priority="42" stopIfTrue="1">
      <formula>$C$24=""</formula>
    </cfRule>
  </conditionalFormatting>
  <conditionalFormatting sqref="C25">
    <cfRule type="expression" dxfId="33" priority="41" stopIfTrue="1">
      <formula>$C$25=""</formula>
    </cfRule>
  </conditionalFormatting>
  <conditionalFormatting sqref="C26">
    <cfRule type="expression" dxfId="32" priority="40" stopIfTrue="1">
      <formula>$C$26=""</formula>
    </cfRule>
  </conditionalFormatting>
  <conditionalFormatting sqref="C27">
    <cfRule type="expression" dxfId="31" priority="39" stopIfTrue="1">
      <formula>$C$27=""</formula>
    </cfRule>
  </conditionalFormatting>
  <conditionalFormatting sqref="D31">
    <cfRule type="expression" dxfId="30" priority="38" stopIfTrue="1">
      <formula>$D$31=""</formula>
    </cfRule>
  </conditionalFormatting>
  <conditionalFormatting sqref="F31">
    <cfRule type="expression" dxfId="29" priority="37" stopIfTrue="1">
      <formula>$F$31=""</formula>
    </cfRule>
  </conditionalFormatting>
  <conditionalFormatting sqref="C33">
    <cfRule type="expression" dxfId="28" priority="36" stopIfTrue="1">
      <formula>$C$33=""</formula>
    </cfRule>
  </conditionalFormatting>
  <conditionalFormatting sqref="D33">
    <cfRule type="expression" dxfId="27" priority="34" stopIfTrue="1">
      <formula>AND($C$33="Altro / Other =",$D$33="")</formula>
    </cfRule>
  </conditionalFormatting>
  <conditionalFormatting sqref="F5">
    <cfRule type="expression" dxfId="26" priority="142" stopIfTrue="1">
      <formula>$F$5=""</formula>
    </cfRule>
  </conditionalFormatting>
  <conditionalFormatting sqref="F4">
    <cfRule type="expression" dxfId="25" priority="28" stopIfTrue="1">
      <formula>$F$4=""</formula>
    </cfRule>
  </conditionalFormatting>
  <conditionalFormatting sqref="D8">
    <cfRule type="expression" dxfId="24" priority="27" stopIfTrue="1">
      <formula>$D$8=""</formula>
    </cfRule>
  </conditionalFormatting>
  <conditionalFormatting sqref="C10">
    <cfRule type="expression" dxfId="23" priority="26" stopIfTrue="1">
      <formula>$C$10=""</formula>
    </cfRule>
  </conditionalFormatting>
  <conditionalFormatting sqref="C49">
    <cfRule type="expression" dxfId="22" priority="25" stopIfTrue="1">
      <formula>$C$49=""</formula>
    </cfRule>
  </conditionalFormatting>
  <conditionalFormatting sqref="B55">
    <cfRule type="expression" dxfId="21" priority="24" stopIfTrue="1">
      <formula>AND($E$53="Altro / Other =",$F$53="")</formula>
    </cfRule>
  </conditionalFormatting>
  <conditionalFormatting sqref="C55">
    <cfRule type="expression" dxfId="20" priority="22" stopIfTrue="1">
      <formula>$C$55=""</formula>
    </cfRule>
  </conditionalFormatting>
  <conditionalFormatting sqref="C29:F29">
    <cfRule type="expression" dxfId="19" priority="21">
      <formula>$C$29=""</formula>
    </cfRule>
  </conditionalFormatting>
  <conditionalFormatting sqref="F64">
    <cfRule type="expression" dxfId="18" priority="20">
      <formula>$F$64=""</formula>
    </cfRule>
  </conditionalFormatting>
  <conditionalFormatting sqref="F65">
    <cfRule type="expression" dxfId="17" priority="19">
      <formula>$F$65=""</formula>
    </cfRule>
  </conditionalFormatting>
  <conditionalFormatting sqref="F66">
    <cfRule type="expression" dxfId="16" priority="18">
      <formula>$F$66=""</formula>
    </cfRule>
  </conditionalFormatting>
  <conditionalFormatting sqref="E8">
    <cfRule type="expression" dxfId="15" priority="17">
      <formula>$E$8=""</formula>
    </cfRule>
  </conditionalFormatting>
  <conditionalFormatting sqref="C8">
    <cfRule type="expression" dxfId="14" priority="16">
      <formula>$C$8=""</formula>
    </cfRule>
  </conditionalFormatting>
  <conditionalFormatting sqref="D10">
    <cfRule type="expression" dxfId="13" priority="15">
      <formula>$D$10=""</formula>
    </cfRule>
  </conditionalFormatting>
  <conditionalFormatting sqref="C4:D4">
    <cfRule type="expression" dxfId="12" priority="14">
      <formula>$C$4=""</formula>
    </cfRule>
  </conditionalFormatting>
  <conditionalFormatting sqref="C7:D7">
    <cfRule type="expression" dxfId="11" priority="13">
      <formula>$C$7=""</formula>
    </cfRule>
  </conditionalFormatting>
  <conditionalFormatting sqref="C32:F32">
    <cfRule type="expression" dxfId="10" priority="12">
      <formula>$C$32=""</formula>
    </cfRule>
  </conditionalFormatting>
  <conditionalFormatting sqref="F23">
    <cfRule type="expression" dxfId="9" priority="11">
      <formula>$F$23=""</formula>
    </cfRule>
  </conditionalFormatting>
  <conditionalFormatting sqref="F24">
    <cfRule type="expression" dxfId="8" priority="10">
      <formula>$F$24=""</formula>
    </cfRule>
  </conditionalFormatting>
  <conditionalFormatting sqref="F25">
    <cfRule type="expression" dxfId="7" priority="9">
      <formula>$F$25=""</formula>
    </cfRule>
  </conditionalFormatting>
  <conditionalFormatting sqref="F26">
    <cfRule type="expression" dxfId="6" priority="8">
      <formula>$F$26=""</formula>
    </cfRule>
  </conditionalFormatting>
  <conditionalFormatting sqref="F27">
    <cfRule type="expression" dxfId="5" priority="7">
      <formula>$F$27=""</formula>
    </cfRule>
  </conditionalFormatting>
  <conditionalFormatting sqref="F36">
    <cfRule type="expression" dxfId="4" priority="6">
      <formula>$F$36=""</formula>
    </cfRule>
  </conditionalFormatting>
  <conditionalFormatting sqref="D35">
    <cfRule type="expression" dxfId="3" priority="5">
      <formula>$D$35=""</formula>
    </cfRule>
  </conditionalFormatting>
  <conditionalFormatting sqref="D49">
    <cfRule type="expression" dxfId="2" priority="4">
      <formula>$D$49=""</formula>
    </cfRule>
  </conditionalFormatting>
  <conditionalFormatting sqref="D43">
    <cfRule type="expression" dxfId="1" priority="2">
      <formula>$D$43=""</formula>
    </cfRule>
  </conditionalFormatting>
  <conditionalFormatting sqref="E10">
    <cfRule type="expression" dxfId="0" priority="1" stopIfTrue="1">
      <formula>$E$10=""</formula>
    </cfRule>
  </conditionalFormatting>
  <dataValidations count="3">
    <dataValidation type="list" allowBlank="1" showInputMessage="1" showErrorMessage="1" sqref="C10:F10" xr:uid="{00000000-0002-0000-0000-000000000000}">
      <formula1>"Disponibile - qui allegato / Available - here attached,Non disponibile / Not available"</formula1>
    </dataValidation>
    <dataValidation type="list" allowBlank="1" showInputMessage="1" showErrorMessage="1" sqref="D35:F35 D43:F43" xr:uid="{00000000-0002-0000-0000-000001000000}">
      <formula1>"Specifica disponibile - qui allegata/specificata // Specification available - here attached/specified,Specifica non disponibile / Specification not available"</formula1>
    </dataValidation>
    <dataValidation type="list" allowBlank="1" showInputMessage="1" showErrorMessage="1" sqref="C28:D28" xr:uid="{00000000-0002-0000-0000-000002000000}">
      <formula1>"1,2,3,4,5,6,7,8,9,10,11,12,13,14,15,16,17,18,19,20,21,22,23,24,25,26,27,28,29,30"</formula1>
    </dataValidation>
  </dataValidations>
  <printOptions horizontalCentered="1"/>
  <pageMargins left="3.937007874015748E-2" right="3.937007874015748E-2" top="0.35433070866141736" bottom="0.35433070866141736" header="0.11811023622047245" footer="0.11811023622047245"/>
  <pageSetup paperSize="8" scale="69" orientation="portrait" r:id="rId1"/>
  <headerFooter alignWithMargins="0">
    <oddHeader>&amp;L&amp;"ABB Logo,Plain"&amp;28ABB</oddHeader>
    <oddFooter xml:space="preserve">&amp;C&amp;12ABB PPHV S.p.A. U.O. ADDA&amp;R&amp;16 2GJA602374  </oddFooter>
  </headerFooter>
  <drawing r:id="rId2"/>
  <legacyDrawing r:id="rId3"/>
  <controls>
    <mc:AlternateContent xmlns:mc="http://schemas.openxmlformats.org/markup-compatibility/2006">
      <mc:Choice Requires="x14">
        <control shapeId="1038" r:id="rId4" name="CommandButton1">
          <controlPr defaultSize="0" autoLine="0" autoPict="0" r:id="rId5">
            <anchor moveWithCells="1">
              <from>
                <xdr:col>0</xdr:col>
                <xdr:colOff>601980</xdr:colOff>
                <xdr:row>0</xdr:row>
                <xdr:rowOff>76200</xdr:rowOff>
              </from>
              <to>
                <xdr:col>2</xdr:col>
                <xdr:colOff>38100</xdr:colOff>
                <xdr:row>0</xdr:row>
                <xdr:rowOff>533400</xdr:rowOff>
              </to>
            </anchor>
          </controlPr>
        </control>
      </mc:Choice>
      <mc:Fallback>
        <control shapeId="1038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2">
        <x14:dataValidation type="list" allowBlank="1" showInputMessage="1" showErrorMessage="1" xr:uid="{00000000-0002-0000-0000-000003000000}">
          <x14:formula1>
            <xm:f>Datasheet!$DH$8:$DH$10</xm:f>
          </x14:formula1>
          <xm:sqref>D19:D20 E52 C58 C51 D48 C34 F19:F20</xm:sqref>
        </x14:dataValidation>
        <x14:dataValidation type="list" allowBlank="1" showInputMessage="1" showErrorMessage="1" xr:uid="{00000000-0002-0000-0000-000004000000}">
          <x14:formula1>
            <xm:f>Datasheet!$K$16:$K$18</xm:f>
          </x14:formula1>
          <xm:sqref>C9</xm:sqref>
        </x14:dataValidation>
        <x14:dataValidation type="list" allowBlank="1" showInputMessage="1" showErrorMessage="1" xr:uid="{00000000-0002-0000-0000-000005000000}">
          <x14:formula1>
            <xm:f>Datasheet!$K$23:$K$25</xm:f>
          </x14:formula1>
          <xm:sqref>D9</xm:sqref>
        </x14:dataValidation>
        <x14:dataValidation type="list" allowBlank="1" showInputMessage="1" showErrorMessage="1" xr:uid="{00000000-0002-0000-0000-000006000000}">
          <x14:formula1>
            <xm:f>Datasheet!$H$23:$H$26</xm:f>
          </x14:formula1>
          <xm:sqref>E8</xm:sqref>
        </x14:dataValidation>
        <x14:dataValidation type="list" allowBlank="1" showInputMessage="1" showErrorMessage="1" xr:uid="{00000000-0002-0000-0000-000007000000}">
          <x14:formula1>
            <xm:f>Datasheet!$H$35:$H$39</xm:f>
          </x14:formula1>
          <xm:sqref>C23</xm:sqref>
        </x14:dataValidation>
        <x14:dataValidation type="list" allowBlank="1" showInputMessage="1" showErrorMessage="1" xr:uid="{00000000-0002-0000-0000-000008000000}">
          <x14:formula1>
            <xm:f>Datasheet!$H$43:$H$45</xm:f>
          </x14:formula1>
          <xm:sqref>C22</xm:sqref>
        </x14:dataValidation>
        <x14:dataValidation type="list" allowBlank="1" showInputMessage="1" showErrorMessage="1" xr:uid="{00000000-0002-0000-0000-000009000000}">
          <x14:formula1>
            <xm:f>Datasheet!$Q$8:$Q$12</xm:f>
          </x14:formula1>
          <xm:sqref>C25</xm:sqref>
        </x14:dataValidation>
        <x14:dataValidation type="list" allowBlank="1" showInputMessage="1" showErrorMessage="1" xr:uid="{00000000-0002-0000-0000-00000A000000}">
          <x14:formula1>
            <xm:f>Datasheet!$T$8:$T$17</xm:f>
          </x14:formula1>
          <xm:sqref>C26</xm:sqref>
        </x14:dataValidation>
        <x14:dataValidation type="list" allowBlank="1" showInputMessage="1" showErrorMessage="1" xr:uid="{00000000-0002-0000-0000-00000B000000}">
          <x14:formula1>
            <xm:f>Datasheet!$W$8:$W$15</xm:f>
          </x14:formula1>
          <xm:sqref>C27</xm:sqref>
        </x14:dataValidation>
        <x14:dataValidation type="list" allowBlank="1" showInputMessage="1" showErrorMessage="1" xr:uid="{00000000-0002-0000-0000-00000C000000}">
          <x14:formula1>
            <xm:f>Datasheet!$AO$8:$AO$12</xm:f>
          </x14:formula1>
          <xm:sqref>C49</xm:sqref>
        </x14:dataValidation>
        <x14:dataValidation type="list" allowBlank="1" showInputMessage="1" showErrorMessage="1" xr:uid="{00000000-0002-0000-0000-00000E000000}">
          <x14:formula1>
            <xm:f>Datasheet!$DC$15:$DC$18</xm:f>
          </x14:formula1>
          <xm:sqref>D56</xm:sqref>
        </x14:dataValidation>
        <x14:dataValidation type="list" allowBlank="1" showInputMessage="1" showErrorMessage="1" xr:uid="{00000000-0002-0000-0000-00000F000000}">
          <x14:formula1>
            <xm:f>Datasheet!$DC$22:$DC$25</xm:f>
          </x14:formula1>
          <xm:sqref>C57</xm:sqref>
        </x14:dataValidation>
        <x14:dataValidation type="list" allowBlank="1" showInputMessage="1" showErrorMessage="1" xr:uid="{00000000-0002-0000-0000-000010000000}">
          <x14:formula1>
            <xm:f>Datasheet!$DO$8:$DO$10</xm:f>
          </x14:formula1>
          <xm:sqref>F21</xm:sqref>
        </x14:dataValidation>
        <x14:dataValidation type="list" allowBlank="1" showInputMessage="1" showErrorMessage="1" xr:uid="{00000000-0002-0000-0000-000011000000}">
          <x14:formula1>
            <xm:f>Datasheet!$DM$8:$DM$10</xm:f>
          </x14:formula1>
          <xm:sqref>D21</xm:sqref>
        </x14:dataValidation>
        <x14:dataValidation type="list" allowBlank="1" showInputMessage="1" showErrorMessage="1" xr:uid="{00000000-0002-0000-0000-000012000000}">
          <x14:formula1>
            <xm:f>Datasheet!$DM$16:$DM$19</xm:f>
          </x14:formula1>
          <xm:sqref>C61</xm:sqref>
        </x14:dataValidation>
        <x14:dataValidation type="list" allowBlank="1" showInputMessage="1" showErrorMessage="1" xr:uid="{00000000-0002-0000-0000-000013000000}">
          <x14:formula1>
            <xm:f>Datasheet!$DK$8:$DK$21</xm:f>
          </x14:formula1>
          <xm:sqref>C60</xm:sqref>
        </x14:dataValidation>
        <x14:dataValidation type="list" allowBlank="1" showInputMessage="1" showErrorMessage="1" xr:uid="{00000000-0002-0000-0000-000014000000}">
          <x14:formula1>
            <xm:f>Datasheet!$DF$8:$DF$17</xm:f>
          </x14:formula1>
          <xm:sqref>C59</xm:sqref>
        </x14:dataValidation>
        <x14:dataValidation type="list" allowBlank="1" showInputMessage="1" showErrorMessage="1" xr:uid="{00000000-0002-0000-0000-000015000000}">
          <x14:formula1>
            <xm:f>Datasheet!$H$29:$H$32</xm:f>
          </x14:formula1>
          <xm:sqref>C62</xm:sqref>
        </x14:dataValidation>
        <x14:dataValidation type="list" allowBlank="1" showInputMessage="1" showErrorMessage="1" xr:uid="{00000000-0002-0000-0000-000017000000}">
          <x14:formula1>
            <xm:f>Datasheet!$N$8:$N$18</xm:f>
          </x14:formula1>
          <xm:sqref>C24</xm:sqref>
        </x14:dataValidation>
        <x14:dataValidation type="list" allowBlank="1" showInputMessage="1" showErrorMessage="1" xr:uid="{00000000-0002-0000-0000-000018000000}">
          <x14:formula1>
            <xm:f>Datasheet!$Z$8:$Z$15</xm:f>
          </x14:formula1>
          <xm:sqref>D30</xm:sqref>
        </x14:dataValidation>
        <x14:dataValidation type="list" allowBlank="1" showInputMessage="1" showErrorMessage="1" xr:uid="{00000000-0002-0000-0000-000019000000}">
          <x14:formula1>
            <xm:f>Datasheet!$AC$8:$AC$2415</xm:f>
          </x14:formula1>
          <xm:sqref>F30</xm:sqref>
        </x14:dataValidation>
        <x14:dataValidation type="list" allowBlank="1" showInputMessage="1" showErrorMessage="1" xr:uid="{00000000-0002-0000-0000-00001B000000}">
          <x14:formula1>
            <xm:f>Datasheet!$DQ$8:$DQ$11</xm:f>
          </x14:formula1>
          <xm:sqref>E51</xm:sqref>
        </x14:dataValidation>
        <x14:dataValidation type="list" allowBlank="1" showInputMessage="1" showErrorMessage="1" xr:uid="{00000000-0002-0000-0000-00001C000000}">
          <x14:formula1>
            <xm:f>Datasheet!$AF$8:$AF$14</xm:f>
          </x14:formula1>
          <xm:sqref>D31</xm:sqref>
        </x14:dataValidation>
        <x14:dataValidation type="list" allowBlank="1" showInputMessage="1" showErrorMessage="1" xr:uid="{00000000-0002-0000-0000-00001D000000}">
          <x14:formula1>
            <xm:f>Datasheet!$H$8:$H$20</xm:f>
          </x14:formula1>
          <xm:sqref>C8</xm:sqref>
        </x14:dataValidation>
        <x14:dataValidation type="list" allowBlank="1" showInputMessage="1" showErrorMessage="1" xr:uid="{00000000-0002-0000-0000-00001E000000}">
          <x14:formula1>
            <xm:f>Datasheet!$DS$8:$DS$11</xm:f>
          </x14:formula1>
          <xm:sqref>C52</xm:sqref>
        </x14:dataValidation>
        <x14:dataValidation type="list" allowBlank="1" showInputMessage="1" showErrorMessage="1" xr:uid="{00000000-0002-0000-0000-00001F000000}">
          <x14:formula1>
            <xm:f>Datasheet!$DU$8:$DU$10</xm:f>
          </x14:formula1>
          <xm:sqref>C55</xm:sqref>
        </x14:dataValidation>
        <x14:dataValidation type="list" allowBlank="1" showInputMessage="1" showErrorMessage="1" xr:uid="{00000000-0002-0000-0000-000020000000}">
          <x14:formula1>
            <xm:f>Datasheet!$DC$8:$DC$12</xm:f>
          </x14:formula1>
          <xm:sqref>E58</xm:sqref>
        </x14:dataValidation>
        <x14:dataValidation type="list" allowBlank="1" showInputMessage="1" showErrorMessage="1" xr:uid="{00000000-0002-0000-0000-000021000000}">
          <x14:formula1>
            <xm:f>Datasheet!$DC$29:$DC$36</xm:f>
          </x14:formula1>
          <xm:sqref>F56</xm:sqref>
        </x14:dataValidation>
        <x14:dataValidation type="list" allowBlank="1" showInputMessage="1" showErrorMessage="1" xr:uid="{00000000-0002-0000-0000-000022000000}">
          <x14:formula1>
            <xm:f>Datasheet!$AU$8:$AU$17</xm:f>
          </x14:formula1>
          <xm:sqref>F49 E53</xm:sqref>
        </x14:dataValidation>
        <x14:dataValidation type="list" allowBlank="1" showInputMessage="1" showErrorMessage="1" xr:uid="{00000000-0002-0000-0000-000016000000}">
          <x14:formula1>
            <xm:f>Datasheet!$K$8:$K$12</xm:f>
          </x14:formula1>
          <xm:sqref>D8</xm:sqref>
        </x14:dataValidation>
        <x14:dataValidation type="list" allowBlank="1" showInputMessage="1" showErrorMessage="1" xr:uid="{00000000-0002-0000-0000-00001A000000}">
          <x14:formula1>
            <xm:f>Datasheet!$AL$8:$AL$12</xm:f>
          </x14:formula1>
          <xm:sqref>C33</xm:sqref>
        </x14:dataValidation>
        <x14:dataValidation type="list" allowBlank="1" showInputMessage="1" showErrorMessage="1" xr:uid="{00000000-0002-0000-0000-00000D000000}">
          <x14:formula1>
            <xm:f>Datasheet!$AR$8:$AR$12</xm:f>
          </x14:formula1>
          <xm:sqref>D49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DU74"/>
  <sheetViews>
    <sheetView workbookViewId="0">
      <selection activeCell="A10" sqref="A10"/>
    </sheetView>
  </sheetViews>
  <sheetFormatPr defaultRowHeight="13.2" x14ac:dyDescent="0.25"/>
  <cols>
    <col min="1" max="3" width="20.33203125" style="1" customWidth="1"/>
    <col min="4" max="4" width="6.6640625" style="2" customWidth="1"/>
    <col min="5" max="5" width="6.6640625" style="3" customWidth="1"/>
    <col min="6" max="6" width="6.6640625" style="2" customWidth="1"/>
    <col min="7" max="7" width="4.88671875" style="4" customWidth="1"/>
    <col min="8" max="8" width="22.44140625" style="4" customWidth="1"/>
    <col min="9" max="9" width="14.109375" style="4" customWidth="1"/>
    <col min="10" max="10" width="11.88671875" style="4" customWidth="1"/>
    <col min="11" max="11" width="35.88671875" style="4" customWidth="1"/>
    <col min="12" max="12" width="12.88671875" style="4" customWidth="1"/>
    <col min="13" max="13" width="9.109375" style="4" customWidth="1"/>
    <col min="14" max="14" width="50.44140625" style="4" customWidth="1"/>
    <col min="15" max="15" width="9.109375" style="4" customWidth="1"/>
    <col min="16" max="16" width="10.44140625" style="4" customWidth="1"/>
    <col min="17" max="17" width="32.109375" style="4" customWidth="1"/>
    <col min="18" max="18" width="9.109375" style="4" customWidth="1"/>
    <col min="19" max="19" width="10.44140625" style="4" customWidth="1"/>
    <col min="20" max="20" width="32.109375" style="4" customWidth="1"/>
    <col min="21" max="22" width="10.44140625" style="6" customWidth="1"/>
    <col min="23" max="23" width="32.109375" style="6" customWidth="1"/>
    <col min="24" max="25" width="9.109375" style="1" customWidth="1"/>
    <col min="26" max="26" width="15.6640625" style="1" customWidth="1"/>
    <col min="27" max="28" width="9.109375" style="1" customWidth="1"/>
    <col min="29" max="30" width="13.44140625" style="1" customWidth="1"/>
    <col min="31" max="31" width="2" style="1" bestFit="1" customWidth="1"/>
    <col min="32" max="32" width="15.109375" style="1" customWidth="1"/>
    <col min="33" max="33" width="9.109375" style="1" customWidth="1"/>
    <col min="34" max="34" width="4.44140625" style="2" customWidth="1"/>
    <col min="35" max="35" width="26.44140625" style="1" customWidth="1"/>
    <col min="36" max="37" width="9.109375" style="1" customWidth="1"/>
    <col min="38" max="38" width="50.44140625" style="1" customWidth="1"/>
    <col min="39" max="40" width="9.109375" style="1" customWidth="1"/>
    <col min="41" max="41" width="22.109375" style="1" customWidth="1"/>
    <col min="42" max="43" width="9.109375" style="1" customWidth="1"/>
    <col min="44" max="44" width="49.44140625" style="1" customWidth="1"/>
    <col min="45" max="46" width="9.109375" style="1" customWidth="1"/>
    <col min="47" max="47" width="12.88671875" style="1" customWidth="1"/>
    <col min="48" max="49" width="9.109375" style="1" customWidth="1"/>
    <col min="50" max="50" width="12.88671875" style="1" customWidth="1"/>
    <col min="51" max="52" width="9.109375" style="1" customWidth="1"/>
    <col min="53" max="53" width="24.44140625" style="1" customWidth="1"/>
    <col min="54" max="55" width="9.109375" style="1" customWidth="1"/>
    <col min="56" max="56" width="12.88671875" style="1" customWidth="1"/>
    <col min="57" max="58" width="9.109375" style="1" customWidth="1"/>
    <col min="59" max="59" width="17.44140625" style="1" customWidth="1"/>
    <col min="60" max="61" width="9.109375" style="1" customWidth="1"/>
    <col min="62" max="62" width="24.44140625" style="1" customWidth="1"/>
    <col min="63" max="64" width="9.109375" style="1" customWidth="1"/>
    <col min="65" max="65" width="12.88671875" style="1" customWidth="1"/>
    <col min="66" max="67" width="9.109375" style="1" customWidth="1"/>
    <col min="68" max="68" width="18.33203125" style="1" customWidth="1"/>
    <col min="69" max="70" width="9.109375" style="1" customWidth="1"/>
    <col min="71" max="71" width="24.44140625" style="1" customWidth="1"/>
    <col min="72" max="73" width="9.109375" style="1" customWidth="1"/>
    <col min="74" max="74" width="12.88671875" style="1" customWidth="1"/>
    <col min="75" max="76" width="9.109375" style="1" customWidth="1"/>
    <col min="77" max="78" width="18.33203125" style="1" customWidth="1"/>
    <col min="79" max="79" width="9.109375" style="1" customWidth="1"/>
    <col min="80" max="80" width="24.44140625" style="1" customWidth="1"/>
    <col min="81" max="82" width="9.109375" style="1" customWidth="1"/>
    <col min="83" max="83" width="12.88671875" style="1" customWidth="1"/>
    <col min="84" max="85" width="9.109375" style="1" customWidth="1"/>
    <col min="86" max="86" width="17.44140625" style="1" customWidth="1"/>
    <col min="87" max="88" width="9.109375" style="1" customWidth="1"/>
    <col min="89" max="89" width="24.44140625" style="1" customWidth="1"/>
    <col min="90" max="91" width="9.109375" style="1" customWidth="1"/>
    <col min="92" max="92" width="12.88671875" style="1" customWidth="1"/>
    <col min="93" max="94" width="9.109375" style="1" customWidth="1"/>
    <col min="95" max="95" width="18.33203125" style="1" customWidth="1"/>
    <col min="96" max="97" width="9.109375" style="1" customWidth="1"/>
    <col min="98" max="98" width="24.44140625" style="1" customWidth="1"/>
    <col min="99" max="100" width="9.109375" style="1" customWidth="1"/>
    <col min="101" max="101" width="12.88671875" style="1" customWidth="1"/>
    <col min="102" max="103" width="9.109375" style="1" customWidth="1"/>
    <col min="104" max="104" width="18.33203125" style="1" customWidth="1"/>
    <col min="105" max="106" width="9.109375" style="1" customWidth="1"/>
    <col min="107" max="107" width="20.6640625" style="1" customWidth="1"/>
    <col min="108" max="109" width="9.109375" style="1" customWidth="1"/>
    <col min="110" max="110" width="12.88671875" style="1" customWidth="1"/>
    <col min="111" max="111" width="9.109375" style="1" customWidth="1"/>
    <col min="112" max="112" width="25.44140625" style="1" customWidth="1"/>
    <col min="113" max="113" width="9.109375" style="1" customWidth="1"/>
    <col min="114" max="114" width="10.44140625" style="1" customWidth="1"/>
    <col min="115" max="115" width="24.109375" style="1" customWidth="1"/>
    <col min="116" max="116" width="9.109375" style="1" customWidth="1"/>
    <col min="117" max="117" width="22" style="1" customWidth="1"/>
    <col min="118" max="118" width="9.109375" style="1" customWidth="1"/>
    <col min="119" max="119" width="33.88671875" style="1" customWidth="1"/>
    <col min="120" max="120" width="9.109375" style="1" customWidth="1"/>
    <col min="121" max="121" width="26.33203125" style="1" customWidth="1"/>
    <col min="123" max="123" width="24.33203125" bestFit="1" customWidth="1"/>
    <col min="125" max="125" width="24.33203125" bestFit="1" customWidth="1"/>
  </cols>
  <sheetData>
    <row r="1" spans="1:125" x14ac:dyDescent="0.25">
      <c r="F1" s="30"/>
      <c r="G1" s="31"/>
      <c r="H1" s="31">
        <f t="shared" ref="H1:Q1" si="0">COLUMN(H1)</f>
        <v>8</v>
      </c>
      <c r="I1" s="31">
        <f t="shared" si="0"/>
        <v>9</v>
      </c>
      <c r="J1" s="31">
        <f t="shared" si="0"/>
        <v>10</v>
      </c>
      <c r="K1" s="31">
        <f t="shared" si="0"/>
        <v>11</v>
      </c>
      <c r="L1" s="31">
        <f t="shared" si="0"/>
        <v>12</v>
      </c>
      <c r="M1" s="31">
        <f t="shared" si="0"/>
        <v>13</v>
      </c>
      <c r="N1" s="31">
        <f t="shared" si="0"/>
        <v>14</v>
      </c>
      <c r="O1" s="31">
        <f t="shared" si="0"/>
        <v>15</v>
      </c>
      <c r="P1" s="31">
        <f t="shared" si="0"/>
        <v>16</v>
      </c>
      <c r="Q1" s="31">
        <f t="shared" si="0"/>
        <v>17</v>
      </c>
      <c r="R1" s="31"/>
      <c r="S1" s="31">
        <f t="shared" ref="S1:AA1" si="1">COLUMN(S1)</f>
        <v>19</v>
      </c>
      <c r="T1" s="31">
        <f t="shared" si="1"/>
        <v>20</v>
      </c>
      <c r="U1" s="31">
        <f t="shared" si="1"/>
        <v>21</v>
      </c>
      <c r="V1" s="31">
        <f t="shared" si="1"/>
        <v>22</v>
      </c>
      <c r="W1" s="31">
        <f t="shared" si="1"/>
        <v>23</v>
      </c>
      <c r="X1" s="31">
        <f t="shared" si="1"/>
        <v>24</v>
      </c>
      <c r="Y1" s="31">
        <f t="shared" si="1"/>
        <v>25</v>
      </c>
      <c r="Z1" s="31">
        <f t="shared" si="1"/>
        <v>26</v>
      </c>
      <c r="AA1" s="31">
        <f t="shared" si="1"/>
        <v>27</v>
      </c>
      <c r="AB1" s="31"/>
      <c r="AC1" s="31"/>
      <c r="AD1" s="31"/>
      <c r="AE1" s="31"/>
      <c r="AF1" s="31"/>
      <c r="AG1" s="31"/>
      <c r="AH1" s="31">
        <f t="shared" ref="AH1:BM1" si="2">COLUMN(AH1)</f>
        <v>34</v>
      </c>
      <c r="AI1" s="31">
        <f t="shared" si="2"/>
        <v>35</v>
      </c>
      <c r="AJ1" s="31">
        <f t="shared" si="2"/>
        <v>36</v>
      </c>
      <c r="AK1" s="31">
        <f t="shared" si="2"/>
        <v>37</v>
      </c>
      <c r="AL1" s="31">
        <f t="shared" si="2"/>
        <v>38</v>
      </c>
      <c r="AM1" s="31">
        <f t="shared" si="2"/>
        <v>39</v>
      </c>
      <c r="AN1" s="31">
        <f t="shared" si="2"/>
        <v>40</v>
      </c>
      <c r="AO1" s="31">
        <f t="shared" si="2"/>
        <v>41</v>
      </c>
      <c r="AP1" s="31">
        <f t="shared" si="2"/>
        <v>42</v>
      </c>
      <c r="AQ1" s="31">
        <f t="shared" si="2"/>
        <v>43</v>
      </c>
      <c r="AR1" s="31">
        <f t="shared" si="2"/>
        <v>44</v>
      </c>
      <c r="AS1" s="31">
        <f t="shared" si="2"/>
        <v>45</v>
      </c>
      <c r="AT1" s="31">
        <f t="shared" si="2"/>
        <v>46</v>
      </c>
      <c r="AU1" s="31">
        <f t="shared" si="2"/>
        <v>47</v>
      </c>
      <c r="AV1" s="31">
        <f t="shared" si="2"/>
        <v>48</v>
      </c>
      <c r="AW1" s="31">
        <f t="shared" si="2"/>
        <v>49</v>
      </c>
      <c r="AX1" s="31">
        <f t="shared" si="2"/>
        <v>50</v>
      </c>
      <c r="AY1" s="31">
        <f t="shared" si="2"/>
        <v>51</v>
      </c>
      <c r="AZ1" s="31">
        <f t="shared" si="2"/>
        <v>52</v>
      </c>
      <c r="BA1" s="31">
        <f t="shared" si="2"/>
        <v>53</v>
      </c>
      <c r="BB1" s="31">
        <f t="shared" si="2"/>
        <v>54</v>
      </c>
      <c r="BC1" s="31">
        <f t="shared" si="2"/>
        <v>55</v>
      </c>
      <c r="BD1" s="31">
        <f t="shared" si="2"/>
        <v>56</v>
      </c>
      <c r="BE1" s="31">
        <f t="shared" si="2"/>
        <v>57</v>
      </c>
      <c r="BF1" s="31">
        <f t="shared" si="2"/>
        <v>58</v>
      </c>
      <c r="BG1" s="31">
        <f t="shared" si="2"/>
        <v>59</v>
      </c>
      <c r="BH1" s="31">
        <f t="shared" si="2"/>
        <v>60</v>
      </c>
      <c r="BI1" s="31">
        <f t="shared" si="2"/>
        <v>61</v>
      </c>
      <c r="BJ1" s="31">
        <f t="shared" si="2"/>
        <v>62</v>
      </c>
      <c r="BK1" s="31">
        <f t="shared" si="2"/>
        <v>63</v>
      </c>
      <c r="BL1" s="31">
        <f t="shared" si="2"/>
        <v>64</v>
      </c>
      <c r="BM1" s="31">
        <f t="shared" si="2"/>
        <v>65</v>
      </c>
      <c r="BN1" s="31">
        <f t="shared" ref="BN1:CS1" si="3">COLUMN(BN1)</f>
        <v>66</v>
      </c>
      <c r="BO1" s="31">
        <f t="shared" si="3"/>
        <v>67</v>
      </c>
      <c r="BP1" s="31">
        <f t="shared" si="3"/>
        <v>68</v>
      </c>
      <c r="BQ1" s="31">
        <f t="shared" si="3"/>
        <v>69</v>
      </c>
      <c r="BR1" s="31">
        <f t="shared" si="3"/>
        <v>70</v>
      </c>
      <c r="BS1" s="31">
        <f t="shared" si="3"/>
        <v>71</v>
      </c>
      <c r="BT1" s="31">
        <f t="shared" si="3"/>
        <v>72</v>
      </c>
      <c r="BU1" s="31">
        <f t="shared" si="3"/>
        <v>73</v>
      </c>
      <c r="BV1" s="31">
        <f t="shared" si="3"/>
        <v>74</v>
      </c>
      <c r="BW1" s="31">
        <f t="shared" si="3"/>
        <v>75</v>
      </c>
      <c r="BX1" s="31">
        <f t="shared" si="3"/>
        <v>76</v>
      </c>
      <c r="BY1" s="31">
        <f t="shared" si="3"/>
        <v>77</v>
      </c>
      <c r="BZ1" s="31">
        <f t="shared" si="3"/>
        <v>78</v>
      </c>
      <c r="CA1" s="31">
        <f t="shared" si="3"/>
        <v>79</v>
      </c>
      <c r="CB1" s="31">
        <f t="shared" si="3"/>
        <v>80</v>
      </c>
      <c r="CC1" s="31">
        <f t="shared" si="3"/>
        <v>81</v>
      </c>
      <c r="CD1" s="31">
        <f t="shared" si="3"/>
        <v>82</v>
      </c>
      <c r="CE1" s="31">
        <f t="shared" si="3"/>
        <v>83</v>
      </c>
      <c r="CF1" s="31">
        <f t="shared" si="3"/>
        <v>84</v>
      </c>
      <c r="CG1" s="31">
        <f t="shared" si="3"/>
        <v>85</v>
      </c>
      <c r="CH1" s="31">
        <f t="shared" si="3"/>
        <v>86</v>
      </c>
      <c r="CI1" s="31">
        <f t="shared" si="3"/>
        <v>87</v>
      </c>
      <c r="CJ1" s="31">
        <f t="shared" si="3"/>
        <v>88</v>
      </c>
      <c r="CK1" s="31">
        <f t="shared" si="3"/>
        <v>89</v>
      </c>
      <c r="CL1" s="31">
        <f t="shared" si="3"/>
        <v>90</v>
      </c>
      <c r="CM1" s="31">
        <f t="shared" si="3"/>
        <v>91</v>
      </c>
      <c r="CN1" s="31">
        <f t="shared" si="3"/>
        <v>92</v>
      </c>
      <c r="CO1" s="31">
        <f t="shared" si="3"/>
        <v>93</v>
      </c>
      <c r="CP1" s="31">
        <f t="shared" si="3"/>
        <v>94</v>
      </c>
      <c r="CQ1" s="31">
        <f t="shared" si="3"/>
        <v>95</v>
      </c>
      <c r="CR1" s="31">
        <f t="shared" si="3"/>
        <v>96</v>
      </c>
      <c r="CS1" s="31">
        <f t="shared" si="3"/>
        <v>97</v>
      </c>
      <c r="CT1" s="31">
        <f t="shared" ref="CT1:DF1" si="4">COLUMN(CT1)</f>
        <v>98</v>
      </c>
      <c r="CU1" s="31">
        <f t="shared" si="4"/>
        <v>99</v>
      </c>
      <c r="CV1" s="31">
        <f t="shared" si="4"/>
        <v>100</v>
      </c>
      <c r="CW1" s="31">
        <f t="shared" si="4"/>
        <v>101</v>
      </c>
      <c r="CX1" s="31">
        <f t="shared" si="4"/>
        <v>102</v>
      </c>
      <c r="CY1" s="31">
        <f t="shared" si="4"/>
        <v>103</v>
      </c>
      <c r="CZ1" s="31">
        <f t="shared" si="4"/>
        <v>104</v>
      </c>
      <c r="DA1" s="31">
        <f t="shared" si="4"/>
        <v>105</v>
      </c>
      <c r="DB1" s="31">
        <f t="shared" si="4"/>
        <v>106</v>
      </c>
      <c r="DC1" s="31">
        <f t="shared" si="4"/>
        <v>107</v>
      </c>
      <c r="DD1" s="31">
        <f t="shared" si="4"/>
        <v>108</v>
      </c>
      <c r="DE1" s="31">
        <f t="shared" si="4"/>
        <v>109</v>
      </c>
      <c r="DF1" s="31">
        <f t="shared" si="4"/>
        <v>110</v>
      </c>
      <c r="DG1" s="32"/>
    </row>
    <row r="2" spans="1:125" ht="26.4" x14ac:dyDescent="0.25">
      <c r="A2" s="5"/>
      <c r="B2" s="409" t="s">
        <v>169</v>
      </c>
      <c r="C2" s="409"/>
      <c r="F2" s="30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3"/>
      <c r="V2" s="33"/>
      <c r="W2" s="33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0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AW2" s="32"/>
      <c r="AX2" s="32"/>
      <c r="AY2" s="32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5" t="s">
        <v>84</v>
      </c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2"/>
      <c r="CA2" s="36"/>
      <c r="CB2" s="36"/>
      <c r="CC2" s="36"/>
      <c r="CD2" s="36"/>
      <c r="CE2" s="36"/>
      <c r="CF2" s="36"/>
      <c r="CG2" s="36"/>
      <c r="CH2" s="36"/>
      <c r="CI2" s="36"/>
      <c r="CJ2" s="36"/>
      <c r="CK2" s="37" t="s">
        <v>85</v>
      </c>
      <c r="CL2" s="36"/>
      <c r="CM2" s="36"/>
      <c r="CN2" s="36"/>
      <c r="CO2" s="36"/>
      <c r="CP2" s="36"/>
      <c r="CQ2" s="36"/>
      <c r="CR2" s="36"/>
      <c r="CS2" s="36"/>
      <c r="CT2" s="36"/>
      <c r="CU2" s="36"/>
      <c r="CV2" s="36"/>
      <c r="CW2" s="36"/>
      <c r="CX2" s="36"/>
      <c r="CY2" s="36"/>
      <c r="CZ2" s="36"/>
      <c r="DA2" s="32"/>
      <c r="DB2" s="32"/>
      <c r="DC2" s="32"/>
      <c r="DD2" s="32"/>
      <c r="DE2" s="32"/>
      <c r="DF2" s="32"/>
      <c r="DG2" s="32"/>
    </row>
    <row r="3" spans="1:125" ht="13.8" thickBot="1" x14ac:dyDescent="0.3">
      <c r="A3" s="5"/>
      <c r="B3" s="410"/>
      <c r="C3" s="410"/>
      <c r="F3" s="30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3"/>
      <c r="V3" s="33"/>
      <c r="W3" s="33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0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  <c r="BC3" s="32"/>
      <c r="BD3" s="32"/>
      <c r="BE3" s="32"/>
      <c r="BF3" s="32"/>
      <c r="BG3" s="32"/>
      <c r="BH3" s="32"/>
      <c r="BI3" s="32"/>
      <c r="BJ3" s="32"/>
      <c r="BK3" s="32"/>
      <c r="BL3" s="32"/>
      <c r="BM3" s="32"/>
      <c r="BN3" s="32"/>
      <c r="BO3" s="32"/>
      <c r="BP3" s="32"/>
      <c r="BQ3" s="32"/>
      <c r="BR3" s="32"/>
      <c r="BS3" s="32"/>
      <c r="BT3" s="32"/>
      <c r="BU3" s="32"/>
      <c r="BV3" s="32"/>
      <c r="BW3" s="32"/>
      <c r="BX3" s="32"/>
      <c r="BY3" s="32"/>
      <c r="BZ3" s="32"/>
      <c r="CA3" s="32"/>
      <c r="CB3" s="32"/>
      <c r="CC3" s="32"/>
      <c r="CD3" s="32"/>
      <c r="CE3" s="32"/>
      <c r="CF3" s="32"/>
      <c r="CG3" s="32"/>
      <c r="CH3" s="32"/>
      <c r="CI3" s="32"/>
      <c r="CJ3" s="32"/>
      <c r="CK3" s="32"/>
      <c r="CL3" s="32"/>
      <c r="CM3" s="32"/>
      <c r="CN3" s="32"/>
      <c r="CO3" s="32"/>
      <c r="CP3" s="32"/>
      <c r="CQ3" s="32"/>
      <c r="CR3" s="32"/>
      <c r="CS3" s="32"/>
      <c r="CT3" s="32"/>
      <c r="CU3" s="32"/>
      <c r="CV3" s="32"/>
      <c r="CW3" s="32"/>
      <c r="CX3" s="32"/>
      <c r="CY3" s="32"/>
      <c r="CZ3" s="32"/>
      <c r="DA3" s="32"/>
      <c r="DB3" s="32"/>
      <c r="DC3" s="32"/>
      <c r="DD3" s="32"/>
      <c r="DE3" s="32"/>
      <c r="DF3" s="32"/>
      <c r="DG3" s="32"/>
    </row>
    <row r="4" spans="1:125" x14ac:dyDescent="0.25">
      <c r="A4" s="78"/>
      <c r="B4" s="78"/>
      <c r="C4" s="78"/>
      <c r="D4" s="79"/>
      <c r="E4" s="80"/>
      <c r="F4" s="81"/>
      <c r="G4" s="82"/>
      <c r="H4" s="83">
        <f ca="1">INDIRECT(H5)</f>
        <v>0</v>
      </c>
      <c r="I4" s="82"/>
      <c r="J4" s="82"/>
      <c r="K4" s="83" t="str">
        <f ca="1">INDIRECT(K5)</f>
        <v>Configurazione</v>
      </c>
      <c r="L4" s="82"/>
      <c r="M4" s="82"/>
      <c r="N4" s="83">
        <f ca="1">INDIRECT(N5)</f>
        <v>0</v>
      </c>
      <c r="O4" s="82"/>
      <c r="P4" s="82"/>
      <c r="Q4" s="83">
        <f ca="1">INDIRECT(Q5)</f>
        <v>0</v>
      </c>
      <c r="R4" s="82"/>
      <c r="S4" s="82"/>
      <c r="T4" s="83">
        <f ca="1">INDIRECT(T5)</f>
        <v>0</v>
      </c>
      <c r="U4" s="84"/>
      <c r="V4" s="82"/>
      <c r="W4" s="83">
        <f ca="1">INDIRECT(W5)</f>
        <v>0</v>
      </c>
      <c r="X4" s="85"/>
      <c r="Y4" s="85"/>
      <c r="Z4" s="83">
        <f ca="1">INDIRECT(Z5)</f>
        <v>0</v>
      </c>
      <c r="AA4" s="85"/>
      <c r="AB4" s="85"/>
      <c r="AC4" s="83" t="e">
        <f ca="1">INDIRECT(AC5)</f>
        <v>#VALUE!</v>
      </c>
      <c r="AD4" s="95"/>
      <c r="AE4" s="81"/>
      <c r="AF4" s="83" t="e">
        <f ca="1">INDIRECT(AF5)</f>
        <v>#VALUE!</v>
      </c>
      <c r="AG4" s="85"/>
      <c r="AH4" s="81"/>
      <c r="AI4" s="83" t="str">
        <f ca="1">INDIRECT(AI5)</f>
        <v>72,5 kV</v>
      </c>
      <c r="AJ4" s="85"/>
      <c r="AK4" s="85"/>
      <c r="AL4" s="83">
        <f ca="1">INDIRECT(AL5)</f>
        <v>0</v>
      </c>
      <c r="AM4" s="85"/>
      <c r="AN4" s="85"/>
      <c r="AO4" s="83">
        <f ca="1">INDIRECT(AO5)</f>
        <v>0</v>
      </c>
      <c r="AP4" s="85"/>
      <c r="AQ4" s="85"/>
      <c r="AR4" s="83">
        <f ca="1">INDIRECT(AR5)</f>
        <v>0</v>
      </c>
      <c r="AS4" s="85"/>
      <c r="AT4" s="85"/>
      <c r="AU4" s="83">
        <f ca="1">INDIRECT(AU5)</f>
        <v>0</v>
      </c>
      <c r="AV4" s="85"/>
      <c r="AW4" s="85"/>
      <c r="AX4" s="83">
        <f ca="1">INDIRECT(AX5)</f>
        <v>0</v>
      </c>
      <c r="AY4" s="85"/>
      <c r="AZ4" s="85"/>
      <c r="BA4" s="83" t="str">
        <f ca="1">INDIRECT(BA5)</f>
        <v>posteriore SBB</v>
      </c>
      <c r="BB4" s="85"/>
      <c r="BC4" s="85"/>
      <c r="BD4" s="83">
        <f ca="1">INDIRECT(BD5)</f>
        <v>0</v>
      </c>
      <c r="BE4" s="85"/>
      <c r="BF4" s="85"/>
      <c r="BG4" s="83">
        <f ca="1">INDIRECT(BG5)</f>
        <v>0</v>
      </c>
      <c r="BH4" s="85"/>
      <c r="BI4" s="85"/>
      <c r="BJ4" s="83" t="str">
        <f ca="1">INDIRECT(BJ5)</f>
        <v>posteriore SBB</v>
      </c>
      <c r="BK4" s="85"/>
      <c r="BL4" s="85"/>
      <c r="BM4" s="83" t="str">
        <f ca="1">INDIRECT(BM5)</f>
        <v>48Vdc</v>
      </c>
      <c r="BN4" s="85"/>
      <c r="BO4" s="85"/>
      <c r="BP4" s="83" t="str">
        <f ca="1">INDIRECT(BP5)</f>
        <v>48Vdc</v>
      </c>
      <c r="BQ4" s="85"/>
      <c r="BR4" s="85"/>
      <c r="BS4" s="83" t="str">
        <f ca="1">INDIRECT(BS5)</f>
        <v>posteriore SBB</v>
      </c>
      <c r="BT4" s="85"/>
      <c r="BU4" s="85"/>
      <c r="BV4" s="83" t="str">
        <f ca="1">INDIRECT(BV5)</f>
        <v>48Vdc</v>
      </c>
      <c r="BW4" s="85"/>
      <c r="BX4" s="85"/>
      <c r="BY4" s="83" t="str">
        <f ca="1">INDIRECT(BY5)</f>
        <v>48Vdc</v>
      </c>
      <c r="BZ4" s="84"/>
      <c r="CA4" s="85"/>
      <c r="CB4" s="83" t="str">
        <f ca="1">INDIRECT(CB5)</f>
        <v>posteriore SBB</v>
      </c>
      <c r="CC4" s="85"/>
      <c r="CD4" s="85"/>
      <c r="CE4" s="83" t="str">
        <f ca="1">INDIRECT(CE5)</f>
        <v>48Vdc</v>
      </c>
      <c r="CF4" s="85"/>
      <c r="CG4" s="85"/>
      <c r="CH4" s="83" t="str">
        <f ca="1">INDIRECT(CH5)</f>
        <v>48Vdc</v>
      </c>
      <c r="CI4" s="85"/>
      <c r="CJ4" s="85"/>
      <c r="CK4" s="83" t="str">
        <f ca="1">INDIRECT(CK5)</f>
        <v>posteriore SBB</v>
      </c>
      <c r="CL4" s="85"/>
      <c r="CM4" s="85"/>
      <c r="CN4" s="83" t="str">
        <f ca="1">INDIRECT(CN5)</f>
        <v>48Vdc</v>
      </c>
      <c r="CO4" s="85"/>
      <c r="CP4" s="85"/>
      <c r="CQ4" s="86" t="str">
        <f ca="1">INDIRECT(CQ5)</f>
        <v>48Vdc</v>
      </c>
      <c r="CR4" s="87"/>
      <c r="CS4" s="88"/>
      <c r="CT4" s="89" t="str">
        <f ca="1">INDIRECT(CT5)</f>
        <v>posteriore SBB</v>
      </c>
      <c r="CU4" s="85"/>
      <c r="CV4" s="85"/>
      <c r="CW4" s="83" t="str">
        <f ca="1">INDIRECT(CW5)</f>
        <v>48Vdc</v>
      </c>
      <c r="CX4" s="85"/>
      <c r="CY4" s="85"/>
      <c r="CZ4" s="83" t="str">
        <f ca="1">INDIRECT(CZ5)</f>
        <v>48Vdc</v>
      </c>
      <c r="DA4" s="85"/>
      <c r="DB4" s="85"/>
      <c r="DC4" s="83">
        <f ca="1">INDIRECT(DC5)</f>
        <v>0</v>
      </c>
      <c r="DD4" s="85"/>
      <c r="DE4" s="85"/>
      <c r="DF4" s="83">
        <f ca="1">INDIRECT(DF5)</f>
        <v>0</v>
      </c>
      <c r="DG4" s="85"/>
      <c r="DH4" s="90"/>
      <c r="DI4" s="90"/>
      <c r="DJ4" s="90"/>
      <c r="DK4" s="90"/>
      <c r="DL4" s="90"/>
      <c r="DM4" s="90"/>
      <c r="DN4" s="90"/>
      <c r="DO4" s="90"/>
      <c r="DP4" s="90"/>
      <c r="DQ4" s="90"/>
    </row>
    <row r="5" spans="1:125" x14ac:dyDescent="0.25">
      <c r="A5" s="78" t="s">
        <v>181</v>
      </c>
      <c r="B5" s="73" t="e">
        <f>IF(OR('Nuova TCL PASS'!C4="",#REF!="",'Nuova TCL PASS'!C5="",'Nuova TCL PASS'!C6="",'Nuova TCL PASS'!C7="",'Nuova TCL PASS'!F3="",'Nuova TCL PASS'!F4="",'Nuova TCL PASS'!F5="",'Nuova TCL PASS'!F6="",'Nuova TCL PASS'!F7="",'Nuova TCL PASS'!#REF!="",'Nuova TCL PASS'!#REF!="",'Nuova TCL PASS'!#REF!="",'Nuova TCL PASS'!C8="",'Nuova TCL PASS'!D8="",'Nuova TCL PASS'!E8="",'Nuova TCL PASS'!C9="",'Nuova TCL PASS'!D9="",'Nuova TCL PASS'!D19="",'Nuova TCL PASS'!F19="",'Nuova TCL PASS'!D20="",'Nuova TCL PASS'!F20="",'Nuova TCL PASS'!D21="",'Nuova TCL PASS'!F21="",'Nuova TCL PASS'!C22="",'Nuova TCL PASS'!C23="",'Nuova TCL PASS'!C24="",'Nuova TCL PASS'!C25="",'Nuova TCL PASS'!C26=""),0,1)</f>
        <v>#REF!</v>
      </c>
      <c r="C5" s="73" t="s">
        <v>183</v>
      </c>
      <c r="D5" s="79">
        <v>1</v>
      </c>
      <c r="E5" s="80"/>
      <c r="F5" s="81"/>
      <c r="G5" s="82"/>
      <c r="H5" s="83" t="str">
        <f>ADDRESS(G8+6,H1)</f>
        <v>$H$7</v>
      </c>
      <c r="I5" s="82"/>
      <c r="J5" s="82"/>
      <c r="K5" s="83" t="str">
        <f>ADDRESS(J8+6,K1)</f>
        <v>$K$7</v>
      </c>
      <c r="L5" s="82"/>
      <c r="M5" s="82"/>
      <c r="N5" s="83" t="str">
        <f>ADDRESS(M8+6,N1)</f>
        <v>$N$7</v>
      </c>
      <c r="O5" s="82"/>
      <c r="P5" s="82"/>
      <c r="Q5" s="83" t="str">
        <f>ADDRESS(P8+6,Q1)</f>
        <v>$Q$7</v>
      </c>
      <c r="R5" s="82"/>
      <c r="S5" s="82"/>
      <c r="T5" s="91" t="str">
        <f>ADDRESS(S8+6,T1)</f>
        <v>$T$7</v>
      </c>
      <c r="U5" s="84"/>
      <c r="V5" s="82"/>
      <c r="W5" s="83" t="str">
        <f>ADDRESS(V8+6,W1)</f>
        <v>$W$7</v>
      </c>
      <c r="X5" s="85"/>
      <c r="Y5" s="85"/>
      <c r="Z5" s="83" t="str">
        <f>ADDRESS(Y8+6,Z1)</f>
        <v>$Z$7</v>
      </c>
      <c r="AA5" s="85"/>
      <c r="AB5" s="85"/>
      <c r="AC5" s="83" t="e">
        <f>ADDRESS(AB8+6,AC1)</f>
        <v>#VALUE!</v>
      </c>
      <c r="AD5" s="95"/>
      <c r="AE5" s="81"/>
      <c r="AF5" s="83" t="e">
        <f>ADDRESS(AE8+6,AF1)</f>
        <v>#VALUE!</v>
      </c>
      <c r="AG5" s="85"/>
      <c r="AH5" s="81"/>
      <c r="AI5" s="83" t="str">
        <f>ADDRESS(AH8+6,AI1)</f>
        <v>$AI$9</v>
      </c>
      <c r="AJ5" s="85"/>
      <c r="AK5" s="85"/>
      <c r="AL5" s="83" t="str">
        <f>ADDRESS(AK8+6,AL1)</f>
        <v>$AL$8</v>
      </c>
      <c r="AM5" s="85"/>
      <c r="AN5" s="85"/>
      <c r="AO5" s="83" t="str">
        <f>ADDRESS(AN8+6,AO1)</f>
        <v>$AO$7</v>
      </c>
      <c r="AP5" s="85"/>
      <c r="AQ5" s="85"/>
      <c r="AR5" s="83" t="str">
        <f>ADDRESS(AQ8+6,AR1)</f>
        <v>$AR$7</v>
      </c>
      <c r="AS5" s="85"/>
      <c r="AT5" s="85"/>
      <c r="AU5" s="83" t="str">
        <f>ADDRESS(AT8+6,AU1)</f>
        <v>$AU$7</v>
      </c>
      <c r="AV5" s="85"/>
      <c r="AW5" s="85"/>
      <c r="AX5" s="83" t="str">
        <f>ADDRESS(AW8+6,AX1)</f>
        <v>$AX$7</v>
      </c>
      <c r="AY5" s="85"/>
      <c r="AZ5" s="85"/>
      <c r="BA5" s="83" t="str">
        <f>ADDRESS(AZ8+6,BA1)</f>
        <v>$BA$9</v>
      </c>
      <c r="BB5" s="85"/>
      <c r="BC5" s="85"/>
      <c r="BD5" s="83" t="str">
        <f>ADDRESS(BC8+6,BD1)</f>
        <v>$BD$7</v>
      </c>
      <c r="BE5" s="85"/>
      <c r="BF5" s="85"/>
      <c r="BG5" s="83" t="str">
        <f>ADDRESS(BF8+6,BG1)</f>
        <v>$BG$7</v>
      </c>
      <c r="BH5" s="85"/>
      <c r="BI5" s="85"/>
      <c r="BJ5" s="83" t="str">
        <f>ADDRESS(BI8+6,BJ1)</f>
        <v>$BJ$9</v>
      </c>
      <c r="BK5" s="85"/>
      <c r="BL5" s="85"/>
      <c r="BM5" s="83" t="str">
        <f>ADDRESS(BL8+6,BM1)</f>
        <v>$BM$9</v>
      </c>
      <c r="BN5" s="85"/>
      <c r="BO5" s="85"/>
      <c r="BP5" s="83" t="str">
        <f>ADDRESS(BO8+6,BP1)</f>
        <v>$BP$9</v>
      </c>
      <c r="BQ5" s="85"/>
      <c r="BR5" s="85"/>
      <c r="BS5" s="83" t="str">
        <f>ADDRESS(BR8+6,BS1)</f>
        <v>$BS$9</v>
      </c>
      <c r="BT5" s="85"/>
      <c r="BU5" s="85"/>
      <c r="BV5" s="83" t="str">
        <f>ADDRESS(BU8+6,BV1)</f>
        <v>$BV$9</v>
      </c>
      <c r="BW5" s="85"/>
      <c r="BX5" s="85"/>
      <c r="BY5" s="83" t="str">
        <f>ADDRESS(BX8+6,BY1)</f>
        <v>$BY$9</v>
      </c>
      <c r="BZ5" s="84"/>
      <c r="CA5" s="85"/>
      <c r="CB5" s="83" t="str">
        <f>ADDRESS(CA8+6,CB1)</f>
        <v>$CB$9</v>
      </c>
      <c r="CC5" s="85"/>
      <c r="CD5" s="85"/>
      <c r="CE5" s="83" t="str">
        <f>ADDRESS(CD8+6,CE1)</f>
        <v>$CE$9</v>
      </c>
      <c r="CF5" s="85"/>
      <c r="CG5" s="85"/>
      <c r="CH5" s="83" t="str">
        <f>ADDRESS(CG8+6,CH1)</f>
        <v>$CH$9</v>
      </c>
      <c r="CI5" s="85"/>
      <c r="CJ5" s="85"/>
      <c r="CK5" s="83" t="str">
        <f>ADDRESS(CJ8+6,CK1)</f>
        <v>$CK$9</v>
      </c>
      <c r="CL5" s="85"/>
      <c r="CM5" s="85"/>
      <c r="CN5" s="83" t="str">
        <f>ADDRESS(CM8+6,CN1)</f>
        <v>$CN$9</v>
      </c>
      <c r="CO5" s="85"/>
      <c r="CP5" s="85"/>
      <c r="CQ5" s="86" t="str">
        <f>ADDRESS(CP8+6,CQ1)</f>
        <v>$CQ$9</v>
      </c>
      <c r="CR5" s="92"/>
      <c r="CS5" s="93"/>
      <c r="CT5" s="94" t="str">
        <f>ADDRESS(CS8+6,CT1)</f>
        <v>$CT$9</v>
      </c>
      <c r="CU5" s="85"/>
      <c r="CV5" s="85"/>
      <c r="CW5" s="83" t="str">
        <f>ADDRESS(CV8+6,CW1)</f>
        <v>$CW$9</v>
      </c>
      <c r="CX5" s="85"/>
      <c r="CY5" s="85"/>
      <c r="CZ5" s="83" t="str">
        <f>ADDRESS(CY8+6,CZ1)</f>
        <v>$CZ$9</v>
      </c>
      <c r="DA5" s="85"/>
      <c r="DB5" s="85"/>
      <c r="DC5" s="83" t="str">
        <f>ADDRESS(DB8+6,DC1)</f>
        <v>$DC$7</v>
      </c>
      <c r="DD5" s="85"/>
      <c r="DE5" s="85"/>
      <c r="DF5" s="83" t="str">
        <f>ADDRESS(DE8+6,DF1)</f>
        <v>$DF$7</v>
      </c>
      <c r="DG5" s="85"/>
      <c r="DH5" s="90"/>
      <c r="DI5" s="90"/>
      <c r="DJ5" s="90"/>
      <c r="DK5" s="90"/>
      <c r="DL5" s="90"/>
      <c r="DM5" s="90"/>
      <c r="DN5" s="90"/>
      <c r="DO5" s="90"/>
      <c r="DP5" s="90"/>
      <c r="DQ5" s="90"/>
    </row>
    <row r="6" spans="1:125" ht="13.8" thickBot="1" x14ac:dyDescent="0.3">
      <c r="A6" s="78" t="e">
        <f>IF(AND(B5=1,B6=1,B7=1),1,0)</f>
        <v>#REF!</v>
      </c>
      <c r="B6" s="73" t="e">
        <f>IF(OR('Nuova TCL PASS'!C27="",'Nuova TCL PASS'!D30="",'Nuova TCL PASS'!F30="",'Nuova TCL PASS'!D31="",'Nuova TCL PASS'!F31="",'Nuova TCL PASS'!C33="",'Nuova TCL PASS'!C34="",'Nuova TCL PASS'!D48="",AND('Nuova TCL PASS'!D48="YES",'Nuova TCL PASS'!F48=""),'Nuova TCL PASS'!C49="",'Nuova TCL PASS'!D49="",'Nuova TCL PASS'!F49="",'Nuova TCL PASS'!C50="",'Nuova TCL PASS'!E50="",'Nuova TCL PASS'!C51="",'Nuova TCL PASS'!E51="",'Nuova TCL PASS'!C52="",'Nuova TCL PASS'!E52="",'Nuova TCL PASS'!#REF!="",'Nuova TCL PASS'!E53="",'Nuova TCL PASS'!C54="",'Nuova TCL PASS'!E54="",'Nuova TCL PASS'!D56="",'Nuova TCL PASS'!F56="",'Nuova TCL PASS'!C57="",AND('Nuova TCL PASS'!C57="Stand Alone",'Nuova TCL PASS'!E57="")),0,1)</f>
        <v>#REF!</v>
      </c>
      <c r="C6" s="74" t="s">
        <v>184</v>
      </c>
      <c r="D6" s="79">
        <v>1</v>
      </c>
      <c r="E6" s="80"/>
      <c r="F6" s="81"/>
      <c r="G6" s="82"/>
      <c r="H6" s="95"/>
      <c r="I6" s="82"/>
      <c r="J6" s="82"/>
      <c r="K6" s="95"/>
      <c r="L6" s="82"/>
      <c r="M6" s="82"/>
      <c r="N6" s="95"/>
      <c r="O6" s="82"/>
      <c r="P6" s="82"/>
      <c r="Q6" s="95"/>
      <c r="R6" s="82"/>
      <c r="S6" s="82"/>
      <c r="T6" s="95"/>
      <c r="U6" s="84"/>
      <c r="V6" s="82"/>
      <c r="W6" s="95"/>
      <c r="X6" s="85"/>
      <c r="Y6" s="85"/>
      <c r="Z6" s="95"/>
      <c r="AA6" s="85"/>
      <c r="AB6" s="85"/>
      <c r="AC6" s="95"/>
      <c r="AD6" s="95"/>
      <c r="AE6" s="81"/>
      <c r="AF6" s="95"/>
      <c r="AG6" s="85"/>
      <c r="AH6" s="81"/>
      <c r="AI6" s="95"/>
      <c r="AJ6" s="85"/>
      <c r="AK6" s="85"/>
      <c r="AL6" s="95"/>
      <c r="AM6" s="85"/>
      <c r="AN6" s="85"/>
      <c r="AO6" s="95"/>
      <c r="AP6" s="85"/>
      <c r="AQ6" s="85"/>
      <c r="AR6" s="95"/>
      <c r="AS6" s="85"/>
      <c r="AT6" s="85"/>
      <c r="AU6" s="95"/>
      <c r="AV6" s="85"/>
      <c r="AW6" s="85"/>
      <c r="AX6" s="95"/>
      <c r="AY6" s="85"/>
      <c r="AZ6" s="85"/>
      <c r="BA6" s="95"/>
      <c r="BB6" s="85"/>
      <c r="BC6" s="85"/>
      <c r="BD6" s="95"/>
      <c r="BE6" s="85"/>
      <c r="BF6" s="85"/>
      <c r="BG6" s="95"/>
      <c r="BH6" s="85"/>
      <c r="BI6" s="85"/>
      <c r="BJ6" s="95"/>
      <c r="BK6" s="85"/>
      <c r="BL6" s="85"/>
      <c r="BM6" s="95"/>
      <c r="BN6" s="85"/>
      <c r="BO6" s="85"/>
      <c r="BP6" s="95"/>
      <c r="BQ6" s="85"/>
      <c r="BR6" s="85"/>
      <c r="BS6" s="95"/>
      <c r="BT6" s="85"/>
      <c r="BU6" s="85"/>
      <c r="BV6" s="95"/>
      <c r="BW6" s="85"/>
      <c r="BX6" s="85"/>
      <c r="BY6" s="95"/>
      <c r="BZ6" s="84"/>
      <c r="CA6" s="85"/>
      <c r="CB6" s="95"/>
      <c r="CC6" s="85"/>
      <c r="CD6" s="85"/>
      <c r="CE6" s="95"/>
      <c r="CF6" s="85"/>
      <c r="CG6" s="85"/>
      <c r="CH6" s="95"/>
      <c r="CI6" s="85"/>
      <c r="CJ6" s="85"/>
      <c r="CK6" s="95"/>
      <c r="CL6" s="85"/>
      <c r="CM6" s="85"/>
      <c r="CN6" s="95"/>
      <c r="CO6" s="85"/>
      <c r="CP6" s="85"/>
      <c r="CQ6" s="95"/>
      <c r="CR6" s="96"/>
      <c r="CS6" s="97"/>
      <c r="CT6" s="98"/>
      <c r="CU6" s="85"/>
      <c r="CV6" s="85"/>
      <c r="CW6" s="95"/>
      <c r="CX6" s="85"/>
      <c r="CY6" s="85"/>
      <c r="CZ6" s="95"/>
      <c r="DA6" s="85"/>
      <c r="DB6" s="85"/>
      <c r="DC6" s="95"/>
      <c r="DD6" s="85"/>
      <c r="DE6" s="85"/>
      <c r="DF6" s="95"/>
      <c r="DG6" s="85"/>
      <c r="DH6" s="90"/>
      <c r="DI6" s="90"/>
      <c r="DJ6" s="90"/>
      <c r="DK6" s="90"/>
      <c r="DL6" s="90"/>
      <c r="DM6" s="90"/>
      <c r="DN6" s="90"/>
      <c r="DO6" s="90"/>
      <c r="DP6" s="90"/>
      <c r="DQ6" s="90"/>
    </row>
    <row r="7" spans="1:125" ht="13.95" customHeight="1" thickBot="1" x14ac:dyDescent="0.3">
      <c r="A7" s="78" t="s">
        <v>182</v>
      </c>
      <c r="B7" s="73" t="e">
        <f>IF(OR('Nuova TCL PASS'!C58="",'Nuova TCL PASS'!C59="",'Nuova TCL PASS'!C60="",'Nuova TCL PASS'!C61="",'Nuova TCL PASS'!C62="",'Nuova TCL PASS'!#REF!="",'Nuova TCL PASS'!C10="Non disponibile / Not available",'Nuova TCL PASS'!#REF!="",AND('Nuova TCL PASS'!C22="Other:",'Nuova TCL PASS'!D22=""),AND('Nuova TCL PASS'!C25="Other:",'Nuova TCL PASS'!D25=""),AND('Nuova TCL PASS'!C26="Other:",'Nuova TCL PASS'!D26=""),AND('Nuova TCL PASS'!C27="Other:",'Nuova TCL PASS'!D27=""),AND('Nuova TCL PASS'!C33="Altro / Other =",'Nuova TCL PASS'!D33=""),AND('Nuova TCL PASS'!D48="YES",'Nuova TCL PASS'!F48=""),AND('Nuova TCL PASS'!E53="Altro / Other =",'Nuova TCL PASS'!F53=""),AND('Nuova TCL PASS'!C57="Stand Alone",'Nuova TCL PASS'!E57=""),AND('Nuova TCL PASS'!E58="Other / Altro:",'Nuova TCL PASS'!F58=""),AND('Nuova TCL PASS'!C59="Altro / Other =",'Nuova TCL PASS'!E59=""),AND('Nuova TCL PASS'!C60="Altro / Other:",'Nuova TCL PASS'!E60=""),AND('Nuova TCL PASS'!C61="Altro / Other:",'Nuova TCL PASS'!E61=""),AND('Nuova TCL PASS'!C62="YES (See B.O.M. attached)",'Nuova TCL PASS'!D62=""),'Nuova TCL PASS'!C28="",AND('Nuova TCL PASS'!C28="Altro / Other :",'Nuova TCL PASS'!E28=""),'Nuova TCL PASS'!C29="",'Nuova TCL PASS'!#REF!=""),0,1)</f>
        <v>#REF!</v>
      </c>
      <c r="C7" s="75" t="s">
        <v>187</v>
      </c>
      <c r="D7" s="79">
        <v>1</v>
      </c>
      <c r="E7" s="80"/>
      <c r="F7" s="81"/>
      <c r="G7" s="414" t="s">
        <v>0</v>
      </c>
      <c r="H7" s="417"/>
      <c r="I7" s="82"/>
      <c r="J7" s="101"/>
      <c r="K7" s="102" t="s">
        <v>37</v>
      </c>
      <c r="L7" s="82"/>
      <c r="M7" s="414" t="s">
        <v>35</v>
      </c>
      <c r="N7" s="413"/>
      <c r="O7" s="100"/>
      <c r="P7" s="401" t="s">
        <v>36</v>
      </c>
      <c r="Q7" s="402"/>
      <c r="R7" s="100"/>
      <c r="S7" s="401" t="s">
        <v>90</v>
      </c>
      <c r="T7" s="402"/>
      <c r="U7" s="103"/>
      <c r="V7" s="401" t="s">
        <v>58</v>
      </c>
      <c r="W7" s="402"/>
      <c r="X7" s="85"/>
      <c r="Y7" s="401" t="s">
        <v>38</v>
      </c>
      <c r="Z7" s="402"/>
      <c r="AA7" s="82"/>
      <c r="AB7" s="401" t="s">
        <v>382</v>
      </c>
      <c r="AC7" s="402"/>
      <c r="AD7" s="246"/>
      <c r="AE7" s="401" t="s">
        <v>363</v>
      </c>
      <c r="AF7" s="402"/>
      <c r="AG7" s="82"/>
      <c r="AH7" s="401" t="s">
        <v>39</v>
      </c>
      <c r="AI7" s="402"/>
      <c r="AJ7" s="82"/>
      <c r="AK7" s="401" t="s">
        <v>20</v>
      </c>
      <c r="AL7" s="402"/>
      <c r="AM7" s="82"/>
      <c r="AN7" s="401" t="s">
        <v>12</v>
      </c>
      <c r="AO7" s="402"/>
      <c r="AP7" s="85"/>
      <c r="AQ7" s="401" t="s">
        <v>12</v>
      </c>
      <c r="AR7" s="402"/>
      <c r="AS7" s="85"/>
      <c r="AT7" s="403" t="s">
        <v>40</v>
      </c>
      <c r="AU7" s="402"/>
      <c r="AV7" s="85"/>
      <c r="AW7" s="405" t="s">
        <v>41</v>
      </c>
      <c r="AX7" s="411"/>
      <c r="AY7" s="85"/>
      <c r="AZ7" s="405" t="s">
        <v>72</v>
      </c>
      <c r="BA7" s="406"/>
      <c r="BB7" s="104"/>
      <c r="BC7" s="403" t="s">
        <v>66</v>
      </c>
      <c r="BD7" s="404"/>
      <c r="BE7" s="82"/>
      <c r="BF7" s="403" t="s">
        <v>67</v>
      </c>
      <c r="BG7" s="404"/>
      <c r="BH7" s="85"/>
      <c r="BI7" s="405" t="s">
        <v>73</v>
      </c>
      <c r="BJ7" s="406"/>
      <c r="BK7" s="85"/>
      <c r="BL7" s="403" t="s">
        <v>68</v>
      </c>
      <c r="BM7" s="404"/>
      <c r="BN7" s="82"/>
      <c r="BO7" s="403" t="s">
        <v>69</v>
      </c>
      <c r="BP7" s="404"/>
      <c r="BQ7" s="85"/>
      <c r="BR7" s="405" t="s">
        <v>74</v>
      </c>
      <c r="BS7" s="406"/>
      <c r="BT7" s="85"/>
      <c r="BU7" s="403" t="s">
        <v>70</v>
      </c>
      <c r="BV7" s="404"/>
      <c r="BW7" s="82"/>
      <c r="BX7" s="403" t="s">
        <v>71</v>
      </c>
      <c r="BY7" s="404"/>
      <c r="BZ7" s="105"/>
      <c r="CA7" s="405" t="s">
        <v>72</v>
      </c>
      <c r="CB7" s="406"/>
      <c r="CC7" s="104"/>
      <c r="CD7" s="403" t="s">
        <v>66</v>
      </c>
      <c r="CE7" s="404"/>
      <c r="CF7" s="82"/>
      <c r="CG7" s="403" t="s">
        <v>67</v>
      </c>
      <c r="CH7" s="404"/>
      <c r="CI7" s="85"/>
      <c r="CJ7" s="405" t="s">
        <v>73</v>
      </c>
      <c r="CK7" s="406"/>
      <c r="CL7" s="85"/>
      <c r="CM7" s="403" t="s">
        <v>68</v>
      </c>
      <c r="CN7" s="404"/>
      <c r="CO7" s="82"/>
      <c r="CP7" s="403" t="s">
        <v>69</v>
      </c>
      <c r="CQ7" s="404"/>
      <c r="CR7" s="85"/>
      <c r="CS7" s="407" t="s">
        <v>74</v>
      </c>
      <c r="CT7" s="408"/>
      <c r="CU7" s="85"/>
      <c r="CV7" s="403" t="s">
        <v>70</v>
      </c>
      <c r="CW7" s="404"/>
      <c r="CX7" s="82"/>
      <c r="CY7" s="403" t="s">
        <v>71</v>
      </c>
      <c r="CZ7" s="404"/>
      <c r="DA7" s="85"/>
      <c r="DB7" s="403" t="s">
        <v>63</v>
      </c>
      <c r="DC7" s="404"/>
      <c r="DD7" s="82"/>
      <c r="DE7" s="412" t="s">
        <v>42</v>
      </c>
      <c r="DF7" s="413"/>
      <c r="DG7" s="85"/>
      <c r="DH7" s="106" t="s">
        <v>101</v>
      </c>
      <c r="DI7" s="90"/>
      <c r="DJ7" s="412" t="s">
        <v>42</v>
      </c>
      <c r="DK7" s="413"/>
      <c r="DL7" s="90"/>
      <c r="DM7" s="107" t="s">
        <v>126</v>
      </c>
      <c r="DN7" s="90"/>
      <c r="DO7" s="107" t="s">
        <v>127</v>
      </c>
      <c r="DP7" s="90"/>
      <c r="DQ7" s="106" t="s">
        <v>101</v>
      </c>
      <c r="DS7" s="106" t="s">
        <v>101</v>
      </c>
      <c r="DU7" s="106" t="s">
        <v>101</v>
      </c>
    </row>
    <row r="8" spans="1:125" ht="13.8" thickBot="1" x14ac:dyDescent="0.3">
      <c r="A8" s="78">
        <f>IF(AND('Nuova TCL PASS'!D35="Specifica disponibile - qui allegata/specificata // Specification available - here attached/specified",'Nuova TCL PASS'!D43="Specifica disponibile - qui allegata/specificata // Specification available - here attached/specified"),1,0)</f>
        <v>0</v>
      </c>
      <c r="B8" s="76"/>
      <c r="C8" s="75" t="s">
        <v>185</v>
      </c>
      <c r="D8" s="79">
        <v>0</v>
      </c>
      <c r="E8" s="80"/>
      <c r="F8" s="81"/>
      <c r="G8" s="108">
        <v>1</v>
      </c>
      <c r="H8" s="109"/>
      <c r="I8" s="82"/>
      <c r="J8" s="108">
        <v>1</v>
      </c>
      <c r="K8" s="110"/>
      <c r="L8" s="82"/>
      <c r="M8" s="108">
        <v>1</v>
      </c>
      <c r="N8" s="110" t="s">
        <v>47</v>
      </c>
      <c r="O8" s="100"/>
      <c r="P8" s="108">
        <v>1</v>
      </c>
      <c r="Q8" s="110"/>
      <c r="R8" s="100"/>
      <c r="S8" s="111">
        <v>1</v>
      </c>
      <c r="T8" s="110"/>
      <c r="U8" s="103"/>
      <c r="V8" s="108">
        <v>1</v>
      </c>
      <c r="W8" s="110" t="s">
        <v>59</v>
      </c>
      <c r="X8" s="85"/>
      <c r="Y8" s="108">
        <v>1</v>
      </c>
      <c r="Z8" s="110"/>
      <c r="AA8" s="82"/>
      <c r="AB8" s="108">
        <v>1</v>
      </c>
      <c r="AC8" s="110"/>
      <c r="AD8" s="247"/>
      <c r="AE8" s="112">
        <v>3</v>
      </c>
      <c r="AF8" s="110"/>
      <c r="AG8" s="82"/>
      <c r="AH8" s="112">
        <v>3</v>
      </c>
      <c r="AI8" s="110"/>
      <c r="AJ8" s="82"/>
      <c r="AK8" s="108">
        <v>2</v>
      </c>
      <c r="AL8" s="110"/>
      <c r="AM8" s="82"/>
      <c r="AN8" s="113">
        <v>1</v>
      </c>
      <c r="AO8" s="110"/>
      <c r="AP8" s="85"/>
      <c r="AQ8" s="113">
        <v>1</v>
      </c>
      <c r="AR8" s="110"/>
      <c r="AS8" s="85"/>
      <c r="AT8" s="108">
        <v>1</v>
      </c>
      <c r="AU8" s="110"/>
      <c r="AV8" s="85"/>
      <c r="AW8" s="108">
        <v>1</v>
      </c>
      <c r="AX8" s="110"/>
      <c r="AY8" s="85"/>
      <c r="AZ8" s="108">
        <v>3</v>
      </c>
      <c r="BA8" s="110"/>
      <c r="BB8" s="104"/>
      <c r="BC8" s="108">
        <v>1</v>
      </c>
      <c r="BD8" s="110"/>
      <c r="BE8" s="82"/>
      <c r="BF8" s="108">
        <v>1</v>
      </c>
      <c r="BG8" s="110"/>
      <c r="BH8" s="85"/>
      <c r="BI8" s="108">
        <v>3</v>
      </c>
      <c r="BJ8" s="110"/>
      <c r="BK8" s="85"/>
      <c r="BL8" s="108">
        <v>3</v>
      </c>
      <c r="BM8" s="110"/>
      <c r="BN8" s="82"/>
      <c r="BO8" s="108">
        <v>3</v>
      </c>
      <c r="BP8" s="110"/>
      <c r="BQ8" s="85"/>
      <c r="BR8" s="108">
        <v>3</v>
      </c>
      <c r="BS8" s="110"/>
      <c r="BT8" s="85"/>
      <c r="BU8" s="108">
        <v>3</v>
      </c>
      <c r="BV8" s="110"/>
      <c r="BW8" s="82"/>
      <c r="BX8" s="108">
        <v>3</v>
      </c>
      <c r="BY8" s="110"/>
      <c r="BZ8" s="110"/>
      <c r="CA8" s="108">
        <v>3</v>
      </c>
      <c r="CB8" s="110"/>
      <c r="CC8" s="104"/>
      <c r="CD8" s="108">
        <v>3</v>
      </c>
      <c r="CE8" s="110"/>
      <c r="CF8" s="82"/>
      <c r="CG8" s="108">
        <v>3</v>
      </c>
      <c r="CH8" s="110"/>
      <c r="CI8" s="85"/>
      <c r="CJ8" s="108">
        <v>3</v>
      </c>
      <c r="CK8" s="110"/>
      <c r="CL8" s="85"/>
      <c r="CM8" s="108">
        <v>3</v>
      </c>
      <c r="CN8" s="110"/>
      <c r="CO8" s="82"/>
      <c r="CP8" s="108">
        <v>3</v>
      </c>
      <c r="CQ8" s="110"/>
      <c r="CR8" s="85"/>
      <c r="CS8" s="108">
        <v>3</v>
      </c>
      <c r="CT8" s="110"/>
      <c r="CU8" s="85"/>
      <c r="CV8" s="108">
        <v>3</v>
      </c>
      <c r="CW8" s="110"/>
      <c r="CX8" s="82"/>
      <c r="CY8" s="108">
        <v>3</v>
      </c>
      <c r="CZ8" s="110" t="s">
        <v>102</v>
      </c>
      <c r="DA8" s="85"/>
      <c r="DB8" s="108">
        <v>1</v>
      </c>
      <c r="DC8" s="110" t="str">
        <f>CONCATENATE("220Vac"," ",'Nuova TCL PASS'!C25)</f>
        <v>220Vac 50 Hz</v>
      </c>
      <c r="DD8" s="82"/>
      <c r="DE8" s="108">
        <v>1</v>
      </c>
      <c r="DF8" s="110"/>
      <c r="DG8" s="85"/>
      <c r="DH8" s="114"/>
      <c r="DI8" s="90"/>
      <c r="DJ8" s="108">
        <v>3</v>
      </c>
      <c r="DK8" s="110"/>
      <c r="DL8" s="90"/>
      <c r="DM8" s="114"/>
      <c r="DN8" s="90"/>
      <c r="DO8" s="114"/>
      <c r="DP8" s="90"/>
      <c r="DQ8" s="114" t="s">
        <v>276</v>
      </c>
      <c r="DS8" s="114" t="s">
        <v>371</v>
      </c>
      <c r="DU8" s="114" t="s">
        <v>374</v>
      </c>
    </row>
    <row r="9" spans="1:125" ht="39.6" x14ac:dyDescent="0.25">
      <c r="A9" s="182" t="s">
        <v>189</v>
      </c>
      <c r="B9" s="77"/>
      <c r="C9" s="75" t="s">
        <v>186</v>
      </c>
      <c r="D9" s="79">
        <v>0</v>
      </c>
      <c r="E9" s="80"/>
      <c r="F9" s="81"/>
      <c r="G9" s="116"/>
      <c r="H9" s="117" t="s">
        <v>106</v>
      </c>
      <c r="I9" s="118"/>
      <c r="J9" s="119"/>
      <c r="K9" s="117" t="s">
        <v>2</v>
      </c>
      <c r="L9" s="120"/>
      <c r="M9" s="119"/>
      <c r="N9" s="121" t="s">
        <v>48</v>
      </c>
      <c r="O9" s="118"/>
      <c r="P9" s="119"/>
      <c r="Q9" s="121" t="s">
        <v>54</v>
      </c>
      <c r="R9" s="118"/>
      <c r="S9" s="119"/>
      <c r="T9" s="121" t="s">
        <v>91</v>
      </c>
      <c r="U9" s="122"/>
      <c r="V9" s="119"/>
      <c r="W9" s="121" t="s">
        <v>356</v>
      </c>
      <c r="X9" s="85"/>
      <c r="Y9" s="92"/>
      <c r="Z9" s="123" t="s">
        <v>360</v>
      </c>
      <c r="AA9" s="82"/>
      <c r="AB9" s="92"/>
      <c r="AC9" s="123" t="s">
        <v>164</v>
      </c>
      <c r="AD9" s="120"/>
      <c r="AE9" s="124"/>
      <c r="AF9" s="121" t="s">
        <v>362</v>
      </c>
      <c r="AG9" s="82"/>
      <c r="AH9" s="124"/>
      <c r="AI9" s="121" t="s">
        <v>47</v>
      </c>
      <c r="AJ9" s="82"/>
      <c r="AK9" s="92"/>
      <c r="AL9" s="125" t="s">
        <v>19</v>
      </c>
      <c r="AM9" s="82"/>
      <c r="AN9" s="92"/>
      <c r="AO9" s="126" t="s">
        <v>150</v>
      </c>
      <c r="AP9" s="85"/>
      <c r="AQ9" s="92"/>
      <c r="AR9" s="126" t="s">
        <v>310</v>
      </c>
      <c r="AS9" s="85"/>
      <c r="AT9" s="92"/>
      <c r="AU9" s="125" t="s">
        <v>29</v>
      </c>
      <c r="AV9" s="85"/>
      <c r="AW9" s="92"/>
      <c r="AX9" s="125" t="s">
        <v>29</v>
      </c>
      <c r="AY9" s="85"/>
      <c r="AZ9" s="92"/>
      <c r="BA9" s="127" t="s">
        <v>75</v>
      </c>
      <c r="BB9" s="104"/>
      <c r="BC9" s="92"/>
      <c r="BD9" s="128" t="s">
        <v>29</v>
      </c>
      <c r="BE9" s="82"/>
      <c r="BF9" s="92"/>
      <c r="BG9" s="128" t="s">
        <v>29</v>
      </c>
      <c r="BH9" s="85"/>
      <c r="BI9" s="92"/>
      <c r="BJ9" s="127" t="s">
        <v>75</v>
      </c>
      <c r="BK9" s="85"/>
      <c r="BL9" s="92"/>
      <c r="BM9" s="128" t="s">
        <v>29</v>
      </c>
      <c r="BN9" s="82"/>
      <c r="BO9" s="92"/>
      <c r="BP9" s="128" t="s">
        <v>29</v>
      </c>
      <c r="BQ9" s="85"/>
      <c r="BR9" s="92"/>
      <c r="BS9" s="127" t="s">
        <v>75</v>
      </c>
      <c r="BT9" s="85"/>
      <c r="BU9" s="92"/>
      <c r="BV9" s="128" t="s">
        <v>29</v>
      </c>
      <c r="BW9" s="82"/>
      <c r="BX9" s="92"/>
      <c r="BY9" s="128" t="s">
        <v>29</v>
      </c>
      <c r="BZ9" s="129"/>
      <c r="CA9" s="92"/>
      <c r="CB9" s="127" t="s">
        <v>75</v>
      </c>
      <c r="CC9" s="104"/>
      <c r="CD9" s="92"/>
      <c r="CE9" s="128" t="s">
        <v>29</v>
      </c>
      <c r="CF9" s="82"/>
      <c r="CG9" s="92"/>
      <c r="CH9" s="128" t="s">
        <v>29</v>
      </c>
      <c r="CI9" s="85"/>
      <c r="CJ9" s="92"/>
      <c r="CK9" s="127" t="s">
        <v>75</v>
      </c>
      <c r="CL9" s="85"/>
      <c r="CM9" s="92"/>
      <c r="CN9" s="128" t="s">
        <v>29</v>
      </c>
      <c r="CO9" s="82"/>
      <c r="CP9" s="92"/>
      <c r="CQ9" s="128" t="s">
        <v>29</v>
      </c>
      <c r="CR9" s="85"/>
      <c r="CS9" s="92"/>
      <c r="CT9" s="127" t="s">
        <v>75</v>
      </c>
      <c r="CU9" s="85"/>
      <c r="CV9" s="92"/>
      <c r="CW9" s="128" t="s">
        <v>29</v>
      </c>
      <c r="CX9" s="82"/>
      <c r="CY9" s="92"/>
      <c r="CZ9" s="128" t="s">
        <v>29</v>
      </c>
      <c r="DA9" s="85"/>
      <c r="DB9" s="92"/>
      <c r="DC9" s="110" t="str">
        <f>CONCATENATE("230Vac"," ",'Nuova TCL PASS'!C25)</f>
        <v>230Vac 50 Hz</v>
      </c>
      <c r="DD9" s="82"/>
      <c r="DE9" s="92"/>
      <c r="DF9" s="125" t="s">
        <v>29</v>
      </c>
      <c r="DG9" s="85"/>
      <c r="DH9" s="114" t="s">
        <v>99</v>
      </c>
      <c r="DI9" s="90"/>
      <c r="DJ9" s="92"/>
      <c r="DK9" s="125" t="s">
        <v>33</v>
      </c>
      <c r="DL9" s="90"/>
      <c r="DM9" s="114" t="s">
        <v>128</v>
      </c>
      <c r="DN9" s="90"/>
      <c r="DO9" s="114" t="s">
        <v>159</v>
      </c>
      <c r="DP9" s="90"/>
      <c r="DQ9" s="114" t="s">
        <v>277</v>
      </c>
      <c r="DS9" s="250" t="s">
        <v>372</v>
      </c>
      <c r="DU9" s="114" t="s">
        <v>375</v>
      </c>
    </row>
    <row r="10" spans="1:125" ht="27" thickBot="1" x14ac:dyDescent="0.3">
      <c r="A10" s="78" t="e">
        <f>IF('Nuova TCL PASS'!#REF!="","Non specificato",VLOOKUP('Nuova TCL PASS'!#REF!,C5:D9,2,FALSE))</f>
        <v>#REF!</v>
      </c>
      <c r="B10" s="115"/>
      <c r="C10" s="78"/>
      <c r="D10" s="79"/>
      <c r="E10" s="80"/>
      <c r="F10" s="81"/>
      <c r="G10" s="116"/>
      <c r="H10" s="117" t="s">
        <v>365</v>
      </c>
      <c r="I10" s="118"/>
      <c r="J10" s="119"/>
      <c r="K10" s="4" t="s">
        <v>3</v>
      </c>
      <c r="L10" s="120"/>
      <c r="M10" s="119"/>
      <c r="N10" s="110" t="s">
        <v>49</v>
      </c>
      <c r="O10" s="118"/>
      <c r="P10" s="119"/>
      <c r="Q10" s="121" t="s">
        <v>55</v>
      </c>
      <c r="R10" s="118"/>
      <c r="S10" s="119"/>
      <c r="T10" s="110" t="s">
        <v>62</v>
      </c>
      <c r="U10" s="122"/>
      <c r="V10" s="119"/>
      <c r="W10" s="110" t="s">
        <v>60</v>
      </c>
      <c r="X10" s="85"/>
      <c r="Y10" s="92"/>
      <c r="Z10" s="130">
        <v>-30</v>
      </c>
      <c r="AA10" s="82"/>
      <c r="AB10" s="92"/>
      <c r="AC10" s="130" t="s">
        <v>165</v>
      </c>
      <c r="AD10" s="248"/>
      <c r="AE10" s="124"/>
      <c r="AF10" s="110" t="s">
        <v>364</v>
      </c>
      <c r="AG10" s="82"/>
      <c r="AH10" s="124"/>
      <c r="AI10" s="110" t="s">
        <v>48</v>
      </c>
      <c r="AJ10" s="82"/>
      <c r="AK10" s="92"/>
      <c r="AL10" s="125" t="s">
        <v>149</v>
      </c>
      <c r="AM10" s="82"/>
      <c r="AN10" s="92"/>
      <c r="AO10" s="110" t="s">
        <v>64</v>
      </c>
      <c r="AP10" s="85"/>
      <c r="AQ10" s="92"/>
      <c r="AR10" s="126" t="s">
        <v>311</v>
      </c>
      <c r="AS10" s="85"/>
      <c r="AT10" s="92"/>
      <c r="AU10" s="125" t="s">
        <v>28</v>
      </c>
      <c r="AV10" s="85"/>
      <c r="AW10" s="92"/>
      <c r="AX10" s="110"/>
      <c r="AY10" s="85"/>
      <c r="AZ10" s="92"/>
      <c r="BA10" s="110"/>
      <c r="BB10" s="104"/>
      <c r="BC10" s="92"/>
      <c r="BD10" s="128" t="s">
        <v>28</v>
      </c>
      <c r="BE10" s="82"/>
      <c r="BF10" s="92"/>
      <c r="BG10" s="128" t="s">
        <v>28</v>
      </c>
      <c r="BH10" s="85"/>
      <c r="BI10" s="92"/>
      <c r="BJ10" s="110"/>
      <c r="BK10" s="85"/>
      <c r="BL10" s="92"/>
      <c r="BM10" s="128" t="s">
        <v>28</v>
      </c>
      <c r="BN10" s="82"/>
      <c r="BO10" s="92"/>
      <c r="BP10" s="128" t="s">
        <v>28</v>
      </c>
      <c r="BQ10" s="85"/>
      <c r="BR10" s="92"/>
      <c r="BS10" s="110"/>
      <c r="BT10" s="85"/>
      <c r="BU10" s="92"/>
      <c r="BV10" s="128" t="s">
        <v>28</v>
      </c>
      <c r="BW10" s="82"/>
      <c r="BX10" s="92"/>
      <c r="BY10" s="128" t="s">
        <v>28</v>
      </c>
      <c r="BZ10" s="129"/>
      <c r="CA10" s="92"/>
      <c r="CB10" s="110"/>
      <c r="CC10" s="104"/>
      <c r="CD10" s="92"/>
      <c r="CE10" s="128" t="s">
        <v>28</v>
      </c>
      <c r="CF10" s="82"/>
      <c r="CG10" s="92"/>
      <c r="CH10" s="128" t="s">
        <v>28</v>
      </c>
      <c r="CI10" s="85"/>
      <c r="CJ10" s="92"/>
      <c r="CK10" s="110" t="s">
        <v>62</v>
      </c>
      <c r="CL10" s="85"/>
      <c r="CM10" s="92"/>
      <c r="CN10" s="128" t="s">
        <v>28</v>
      </c>
      <c r="CO10" s="82"/>
      <c r="CP10" s="92"/>
      <c r="CQ10" s="128" t="s">
        <v>28</v>
      </c>
      <c r="CR10" s="85"/>
      <c r="CS10" s="92"/>
      <c r="CT10" s="110" t="s">
        <v>62</v>
      </c>
      <c r="CU10" s="85"/>
      <c r="CV10" s="92"/>
      <c r="CW10" s="128" t="s">
        <v>28</v>
      </c>
      <c r="CX10" s="82"/>
      <c r="CY10" s="92"/>
      <c r="CZ10" s="128" t="s">
        <v>28</v>
      </c>
      <c r="DA10" s="132"/>
      <c r="DB10" s="92"/>
      <c r="DC10" s="110" t="str">
        <f>CONCATENATE("120Vac"," ",'Nuova TCL PASS'!C25)</f>
        <v>120Vac 50 Hz</v>
      </c>
      <c r="DD10" s="133"/>
      <c r="DE10" s="92"/>
      <c r="DF10" s="125" t="s">
        <v>28</v>
      </c>
      <c r="DG10" s="85"/>
      <c r="DH10" s="134" t="s">
        <v>100</v>
      </c>
      <c r="DI10" s="90"/>
      <c r="DJ10" s="92"/>
      <c r="DK10" s="110" t="s">
        <v>32</v>
      </c>
      <c r="DL10" s="90"/>
      <c r="DM10" s="134" t="s">
        <v>125</v>
      </c>
      <c r="DN10" s="90"/>
      <c r="DO10" s="134" t="s">
        <v>125</v>
      </c>
      <c r="DP10" s="90"/>
      <c r="DQ10" s="134" t="s">
        <v>278</v>
      </c>
      <c r="DS10" s="114" t="s">
        <v>373</v>
      </c>
      <c r="DU10" s="134"/>
    </row>
    <row r="11" spans="1:125" ht="13.8" thickBot="1" x14ac:dyDescent="0.3">
      <c r="A11" s="78"/>
      <c r="B11" s="115"/>
      <c r="C11" s="78"/>
      <c r="D11" s="79"/>
      <c r="E11" s="80"/>
      <c r="F11" s="81"/>
      <c r="G11" s="116"/>
      <c r="H11" s="117" t="s">
        <v>82</v>
      </c>
      <c r="I11" s="118"/>
      <c r="J11" s="119"/>
      <c r="K11" s="126" t="s">
        <v>4</v>
      </c>
      <c r="L11" s="120"/>
      <c r="M11" s="119"/>
      <c r="N11" s="121" t="s">
        <v>354</v>
      </c>
      <c r="O11" s="118"/>
      <c r="P11" s="119"/>
      <c r="Q11" s="121" t="s">
        <v>56</v>
      </c>
      <c r="R11" s="118"/>
      <c r="S11" s="119"/>
      <c r="T11" s="110" t="s">
        <v>145</v>
      </c>
      <c r="U11" s="122"/>
      <c r="V11" s="119"/>
      <c r="W11" s="110" t="s">
        <v>61</v>
      </c>
      <c r="X11" s="85"/>
      <c r="Y11" s="92"/>
      <c r="Z11" s="123">
        <v>-40</v>
      </c>
      <c r="AA11" s="82"/>
      <c r="AB11" s="92"/>
      <c r="AC11" s="123" t="s">
        <v>166</v>
      </c>
      <c r="AD11" s="120"/>
      <c r="AE11" s="124"/>
      <c r="AF11" s="110" t="s">
        <v>359</v>
      </c>
      <c r="AG11" s="82"/>
      <c r="AH11" s="124"/>
      <c r="AI11" s="110" t="s">
        <v>49</v>
      </c>
      <c r="AJ11" s="82"/>
      <c r="AK11" s="92"/>
      <c r="AL11" s="110" t="s">
        <v>62</v>
      </c>
      <c r="AM11" s="82"/>
      <c r="AN11" s="92"/>
      <c r="AO11" s="110" t="s">
        <v>62</v>
      </c>
      <c r="AP11" s="85"/>
      <c r="AQ11" s="92"/>
      <c r="AR11" s="126"/>
      <c r="AS11" s="85"/>
      <c r="AT11" s="92"/>
      <c r="AU11" s="125" t="s">
        <v>30</v>
      </c>
      <c r="AV11" s="85"/>
      <c r="AW11" s="92"/>
      <c r="AX11" s="110"/>
      <c r="AY11" s="85"/>
      <c r="AZ11" s="92"/>
      <c r="BA11" s="110"/>
      <c r="BB11" s="104"/>
      <c r="BC11" s="92"/>
      <c r="BD11" s="128" t="s">
        <v>30</v>
      </c>
      <c r="BE11" s="82"/>
      <c r="BF11" s="92"/>
      <c r="BG11" s="128" t="s">
        <v>30</v>
      </c>
      <c r="BH11" s="85"/>
      <c r="BI11" s="92"/>
      <c r="BJ11" s="110"/>
      <c r="BK11" s="85"/>
      <c r="BL11" s="92"/>
      <c r="BM11" s="128" t="s">
        <v>30</v>
      </c>
      <c r="BN11" s="82"/>
      <c r="BO11" s="92"/>
      <c r="BP11" s="128" t="s">
        <v>30</v>
      </c>
      <c r="BQ11" s="85"/>
      <c r="BR11" s="92"/>
      <c r="BS11" s="110"/>
      <c r="BT11" s="85"/>
      <c r="BU11" s="92"/>
      <c r="BV11" s="128" t="s">
        <v>30</v>
      </c>
      <c r="BW11" s="82"/>
      <c r="BX11" s="92"/>
      <c r="BY11" s="128" t="s">
        <v>30</v>
      </c>
      <c r="BZ11" s="129"/>
      <c r="CA11" s="92"/>
      <c r="CB11" s="110"/>
      <c r="CC11" s="104"/>
      <c r="CD11" s="92"/>
      <c r="CE11" s="128" t="s">
        <v>30</v>
      </c>
      <c r="CF11" s="82"/>
      <c r="CG11" s="92"/>
      <c r="CH11" s="128" t="s">
        <v>30</v>
      </c>
      <c r="CI11" s="85"/>
      <c r="CJ11" s="92"/>
      <c r="CK11" s="110"/>
      <c r="CL11" s="85"/>
      <c r="CM11" s="92"/>
      <c r="CN11" s="128" t="s">
        <v>30</v>
      </c>
      <c r="CO11" s="82"/>
      <c r="CP11" s="92"/>
      <c r="CQ11" s="128" t="s">
        <v>30</v>
      </c>
      <c r="CR11" s="85"/>
      <c r="CS11" s="92"/>
      <c r="CT11" s="110"/>
      <c r="CU11" s="85"/>
      <c r="CV11" s="92"/>
      <c r="CW11" s="128" t="s">
        <v>30</v>
      </c>
      <c r="CX11" s="82"/>
      <c r="CY11" s="92"/>
      <c r="CZ11" s="128" t="s">
        <v>30</v>
      </c>
      <c r="DA11" s="93"/>
      <c r="DB11" s="92"/>
      <c r="DC11" s="110" t="str">
        <f>CONCATENATE("127Vac"," ",'Nuova TCL PASS'!C25)</f>
        <v>127Vac 50 Hz</v>
      </c>
      <c r="DD11" s="129"/>
      <c r="DE11" s="92"/>
      <c r="DF11" s="125" t="s">
        <v>30</v>
      </c>
      <c r="DG11" s="85"/>
      <c r="DH11" s="135"/>
      <c r="DI11" s="90"/>
      <c r="DJ11" s="92"/>
      <c r="DK11" s="110" t="s">
        <v>125</v>
      </c>
      <c r="DL11" s="90"/>
      <c r="DM11" s="135"/>
      <c r="DN11" s="90"/>
      <c r="DO11" s="135"/>
      <c r="DP11" s="90"/>
      <c r="DQ11" s="90"/>
      <c r="DS11" s="251"/>
    </row>
    <row r="12" spans="1:125" ht="13.8" thickBot="1" x14ac:dyDescent="0.3">
      <c r="A12" s="99"/>
      <c r="B12" s="115"/>
      <c r="C12" s="99"/>
      <c r="D12" s="79"/>
      <c r="E12" s="80"/>
      <c r="F12" s="81"/>
      <c r="G12" s="116"/>
      <c r="H12" s="117" t="s">
        <v>366</v>
      </c>
      <c r="I12" s="118"/>
      <c r="J12" s="119"/>
      <c r="K12" s="126" t="s">
        <v>62</v>
      </c>
      <c r="L12" s="129"/>
      <c r="M12" s="119"/>
      <c r="N12" s="121" t="s">
        <v>50</v>
      </c>
      <c r="O12" s="118"/>
      <c r="P12" s="119"/>
      <c r="Q12" s="121" t="s">
        <v>145</v>
      </c>
      <c r="R12" s="118"/>
      <c r="S12" s="119"/>
      <c r="T12" s="121" t="s">
        <v>92</v>
      </c>
      <c r="U12" s="122"/>
      <c r="V12" s="119"/>
      <c r="W12" s="121" t="s">
        <v>357</v>
      </c>
      <c r="X12" s="85"/>
      <c r="Y12" s="119"/>
      <c r="Z12" s="130">
        <v>-45</v>
      </c>
      <c r="AA12" s="82"/>
      <c r="AB12" s="119"/>
      <c r="AC12" s="130" t="s">
        <v>167</v>
      </c>
      <c r="AD12" s="248"/>
      <c r="AE12" s="137"/>
      <c r="AF12" s="121" t="s">
        <v>62</v>
      </c>
      <c r="AG12" s="82"/>
      <c r="AH12" s="137"/>
      <c r="AI12" s="121" t="s">
        <v>50</v>
      </c>
      <c r="AJ12" s="82"/>
      <c r="AK12" s="119"/>
      <c r="AL12" s="138" t="s">
        <v>27</v>
      </c>
      <c r="AM12" s="82"/>
      <c r="AN12" s="92"/>
      <c r="AO12" s="126"/>
      <c r="AP12" s="85"/>
      <c r="AQ12" s="96"/>
      <c r="AR12" s="139" t="s">
        <v>62</v>
      </c>
      <c r="AS12" s="85"/>
      <c r="AT12" s="119"/>
      <c r="AU12" s="125" t="s">
        <v>80</v>
      </c>
      <c r="AV12" s="85"/>
      <c r="AW12" s="119"/>
      <c r="AX12" s="125" t="s">
        <v>28</v>
      </c>
      <c r="AY12" s="85"/>
      <c r="AZ12" s="119"/>
      <c r="BA12" s="127" t="s">
        <v>76</v>
      </c>
      <c r="BB12" s="82"/>
      <c r="BC12" s="119"/>
      <c r="BD12" s="128" t="s">
        <v>80</v>
      </c>
      <c r="BE12" s="82"/>
      <c r="BF12" s="119"/>
      <c r="BG12" s="128" t="s">
        <v>80</v>
      </c>
      <c r="BH12" s="85"/>
      <c r="BI12" s="119"/>
      <c r="BJ12" s="127" t="s">
        <v>76</v>
      </c>
      <c r="BK12" s="85"/>
      <c r="BL12" s="119"/>
      <c r="BM12" s="128" t="s">
        <v>80</v>
      </c>
      <c r="BN12" s="82"/>
      <c r="BO12" s="119"/>
      <c r="BP12" s="128" t="s">
        <v>80</v>
      </c>
      <c r="BQ12" s="85"/>
      <c r="BR12" s="119"/>
      <c r="BS12" s="127" t="s">
        <v>76</v>
      </c>
      <c r="BT12" s="85"/>
      <c r="BU12" s="119"/>
      <c r="BV12" s="128" t="s">
        <v>80</v>
      </c>
      <c r="BW12" s="82"/>
      <c r="BX12" s="119"/>
      <c r="BY12" s="128" t="s">
        <v>80</v>
      </c>
      <c r="BZ12" s="129"/>
      <c r="CA12" s="119"/>
      <c r="CB12" s="127" t="s">
        <v>76</v>
      </c>
      <c r="CC12" s="82"/>
      <c r="CD12" s="119"/>
      <c r="CE12" s="128" t="s">
        <v>80</v>
      </c>
      <c r="CF12" s="82"/>
      <c r="CG12" s="119"/>
      <c r="CH12" s="128" t="s">
        <v>80</v>
      </c>
      <c r="CI12" s="85"/>
      <c r="CJ12" s="119"/>
      <c r="CK12" s="127" t="s">
        <v>76</v>
      </c>
      <c r="CL12" s="85"/>
      <c r="CM12" s="119"/>
      <c r="CN12" s="128" t="s">
        <v>80</v>
      </c>
      <c r="CO12" s="82"/>
      <c r="CP12" s="119"/>
      <c r="CQ12" s="128" t="s">
        <v>80</v>
      </c>
      <c r="CR12" s="85"/>
      <c r="CS12" s="119"/>
      <c r="CT12" s="127" t="s">
        <v>76</v>
      </c>
      <c r="CU12" s="85"/>
      <c r="CV12" s="119"/>
      <c r="CW12" s="128" t="s">
        <v>80</v>
      </c>
      <c r="CX12" s="82"/>
      <c r="CY12" s="119"/>
      <c r="CZ12" s="128" t="s">
        <v>80</v>
      </c>
      <c r="DA12" s="85"/>
      <c r="DB12" s="119"/>
      <c r="DC12" s="125" t="s">
        <v>188</v>
      </c>
      <c r="DD12" s="82"/>
      <c r="DE12" s="119"/>
      <c r="DF12" s="125" t="s">
        <v>80</v>
      </c>
      <c r="DG12" s="85"/>
      <c r="DH12" s="90"/>
      <c r="DI12" s="90"/>
      <c r="DJ12" s="119"/>
      <c r="DK12" s="125" t="s">
        <v>34</v>
      </c>
      <c r="DL12" s="90"/>
      <c r="DM12" s="90"/>
      <c r="DN12" s="90"/>
      <c r="DO12" s="90"/>
      <c r="DP12" s="90"/>
      <c r="DQ12" s="90"/>
    </row>
    <row r="13" spans="1:125" ht="13.8" thickBot="1" x14ac:dyDescent="0.3">
      <c r="A13" s="99"/>
      <c r="B13" s="99"/>
      <c r="C13" s="99"/>
      <c r="D13" s="79"/>
      <c r="E13" s="80"/>
      <c r="F13" s="140"/>
      <c r="G13" s="116"/>
      <c r="H13" s="117" t="s">
        <v>131</v>
      </c>
      <c r="I13" s="121"/>
      <c r="J13" s="119"/>
      <c r="K13" s="110"/>
      <c r="L13" s="143"/>
      <c r="M13" s="144"/>
      <c r="N13" s="121" t="s">
        <v>51</v>
      </c>
      <c r="O13" s="118"/>
      <c r="P13" s="141"/>
      <c r="Q13" s="145"/>
      <c r="R13" s="118"/>
      <c r="S13" s="119"/>
      <c r="T13" s="146" t="s">
        <v>93</v>
      </c>
      <c r="U13" s="147"/>
      <c r="V13" s="119"/>
      <c r="W13" s="148" t="s">
        <v>358</v>
      </c>
      <c r="X13" s="85"/>
      <c r="Y13" s="119"/>
      <c r="Z13" s="130">
        <v>-50</v>
      </c>
      <c r="AA13" s="82"/>
      <c r="AB13" s="119"/>
      <c r="AC13" s="123" t="s">
        <v>361</v>
      </c>
      <c r="AD13" s="120"/>
      <c r="AE13" s="137"/>
      <c r="AF13" s="121"/>
      <c r="AG13" s="82"/>
      <c r="AH13" s="137"/>
      <c r="AI13" s="121" t="s">
        <v>51</v>
      </c>
      <c r="AJ13" s="82"/>
      <c r="AK13" s="141"/>
      <c r="AL13" s="90"/>
      <c r="AM13" s="119"/>
      <c r="AN13" s="88"/>
      <c r="AO13" s="149"/>
      <c r="AP13" s="93"/>
      <c r="AQ13" s="82"/>
      <c r="AR13" s="82"/>
      <c r="AS13" s="85"/>
      <c r="AT13" s="119"/>
      <c r="AU13" s="125" t="s">
        <v>31</v>
      </c>
      <c r="AV13" s="85"/>
      <c r="AW13" s="119"/>
      <c r="AX13" s="125" t="s">
        <v>30</v>
      </c>
      <c r="AY13" s="85"/>
      <c r="AZ13" s="119"/>
      <c r="BA13" s="127" t="s">
        <v>77</v>
      </c>
      <c r="BB13" s="82"/>
      <c r="BC13" s="119"/>
      <c r="BD13" s="128" t="s">
        <v>31</v>
      </c>
      <c r="BE13" s="82"/>
      <c r="BF13" s="119"/>
      <c r="BG13" s="128" t="s">
        <v>31</v>
      </c>
      <c r="BH13" s="85"/>
      <c r="BI13" s="119"/>
      <c r="BJ13" s="127" t="s">
        <v>77</v>
      </c>
      <c r="BK13" s="85"/>
      <c r="BL13" s="119"/>
      <c r="BM13" s="128" t="s">
        <v>31</v>
      </c>
      <c r="BN13" s="82"/>
      <c r="BO13" s="119"/>
      <c r="BP13" s="128" t="s">
        <v>31</v>
      </c>
      <c r="BQ13" s="85"/>
      <c r="BR13" s="119"/>
      <c r="BS13" s="127" t="s">
        <v>77</v>
      </c>
      <c r="BT13" s="85"/>
      <c r="BU13" s="119"/>
      <c r="BV13" s="128" t="s">
        <v>31</v>
      </c>
      <c r="BW13" s="82"/>
      <c r="BX13" s="119"/>
      <c r="BY13" s="128" t="s">
        <v>31</v>
      </c>
      <c r="BZ13" s="129"/>
      <c r="CA13" s="119"/>
      <c r="CB13" s="127" t="s">
        <v>77</v>
      </c>
      <c r="CC13" s="82"/>
      <c r="CD13" s="119"/>
      <c r="CE13" s="128" t="s">
        <v>31</v>
      </c>
      <c r="CF13" s="82"/>
      <c r="CG13" s="119"/>
      <c r="CH13" s="128" t="s">
        <v>31</v>
      </c>
      <c r="CI13" s="85"/>
      <c r="CJ13" s="119"/>
      <c r="CK13" s="127" t="s">
        <v>77</v>
      </c>
      <c r="CL13" s="85"/>
      <c r="CM13" s="119"/>
      <c r="CN13" s="128" t="s">
        <v>31</v>
      </c>
      <c r="CO13" s="82"/>
      <c r="CP13" s="119"/>
      <c r="CQ13" s="128" t="s">
        <v>31</v>
      </c>
      <c r="CR13" s="85"/>
      <c r="CS13" s="119"/>
      <c r="CT13" s="127" t="s">
        <v>77</v>
      </c>
      <c r="CU13" s="85"/>
      <c r="CV13" s="119"/>
      <c r="CW13" s="128" t="s">
        <v>31</v>
      </c>
      <c r="CX13" s="82"/>
      <c r="CY13" s="119"/>
      <c r="CZ13" s="128" t="s">
        <v>31</v>
      </c>
      <c r="DA13" s="85"/>
      <c r="DB13" s="150"/>
      <c r="DC13" s="150"/>
      <c r="DD13" s="82"/>
      <c r="DE13" s="119"/>
      <c r="DF13" s="125" t="s">
        <v>31</v>
      </c>
      <c r="DG13" s="85"/>
      <c r="DH13" s="90"/>
      <c r="DI13" s="90"/>
      <c r="DJ13" s="119"/>
      <c r="DK13" s="125" t="s">
        <v>108</v>
      </c>
      <c r="DL13" s="90"/>
      <c r="DM13" s="90"/>
      <c r="DN13" s="90"/>
      <c r="DO13" s="90"/>
      <c r="DP13" s="90"/>
      <c r="DQ13" s="90"/>
    </row>
    <row r="14" spans="1:125" ht="13.8" thickBot="1" x14ac:dyDescent="0.3">
      <c r="A14" s="99"/>
      <c r="B14" s="99"/>
      <c r="C14" s="99"/>
      <c r="D14" s="79"/>
      <c r="E14" s="80"/>
      <c r="F14" s="140"/>
      <c r="G14" s="116"/>
      <c r="H14" s="117" t="s">
        <v>367</v>
      </c>
      <c r="I14" s="120"/>
      <c r="J14" s="150"/>
      <c r="K14" s="150"/>
      <c r="L14" s="125"/>
      <c r="M14" s="119"/>
      <c r="N14" s="121" t="s">
        <v>52</v>
      </c>
      <c r="O14" s="118"/>
      <c r="P14" s="82"/>
      <c r="Q14" s="82"/>
      <c r="R14" s="118"/>
      <c r="S14" s="119"/>
      <c r="T14" s="125" t="s">
        <v>94</v>
      </c>
      <c r="U14" s="152"/>
      <c r="V14" s="103"/>
      <c r="W14" s="103" t="s">
        <v>359</v>
      </c>
      <c r="X14" s="132"/>
      <c r="Y14" s="119"/>
      <c r="Z14" s="123">
        <v>-55</v>
      </c>
      <c r="AA14" s="82"/>
      <c r="AB14" s="119"/>
      <c r="AC14" s="130"/>
      <c r="AD14" s="248"/>
      <c r="AE14" s="116"/>
      <c r="AF14" s="121"/>
      <c r="AG14" s="82"/>
      <c r="AH14" s="116"/>
      <c r="AI14" s="121" t="s">
        <v>52</v>
      </c>
      <c r="AJ14" s="82"/>
      <c r="AK14" s="82"/>
      <c r="AL14" s="82"/>
      <c r="AM14" s="82"/>
      <c r="AN14" s="93"/>
      <c r="AO14" s="153"/>
      <c r="AP14" s="93"/>
      <c r="AQ14" s="82"/>
      <c r="AR14" s="82"/>
      <c r="AS14" s="85"/>
      <c r="AT14" s="119"/>
      <c r="AU14" s="125" t="s">
        <v>43</v>
      </c>
      <c r="AV14" s="85"/>
      <c r="AW14" s="119"/>
      <c r="AX14" s="125" t="s">
        <v>80</v>
      </c>
      <c r="AY14" s="85"/>
      <c r="AZ14" s="119"/>
      <c r="BA14" s="127" t="s">
        <v>78</v>
      </c>
      <c r="BB14" s="82"/>
      <c r="BC14" s="119"/>
      <c r="BD14" s="128" t="s">
        <v>43</v>
      </c>
      <c r="BE14" s="82"/>
      <c r="BF14" s="119"/>
      <c r="BG14" s="128" t="s">
        <v>43</v>
      </c>
      <c r="BH14" s="85"/>
      <c r="BI14" s="119"/>
      <c r="BJ14" s="127" t="s">
        <v>78</v>
      </c>
      <c r="BK14" s="85"/>
      <c r="BL14" s="119"/>
      <c r="BM14" s="128" t="s">
        <v>43</v>
      </c>
      <c r="BN14" s="82"/>
      <c r="BO14" s="119"/>
      <c r="BP14" s="128" t="s">
        <v>43</v>
      </c>
      <c r="BQ14" s="85"/>
      <c r="BR14" s="119"/>
      <c r="BS14" s="127" t="s">
        <v>78</v>
      </c>
      <c r="BT14" s="85"/>
      <c r="BU14" s="119"/>
      <c r="BV14" s="128" t="s">
        <v>43</v>
      </c>
      <c r="BW14" s="82"/>
      <c r="BX14" s="119"/>
      <c r="BY14" s="128" t="s">
        <v>43</v>
      </c>
      <c r="BZ14" s="129"/>
      <c r="CA14" s="119"/>
      <c r="CB14" s="127" t="s">
        <v>78</v>
      </c>
      <c r="CC14" s="82"/>
      <c r="CD14" s="119"/>
      <c r="CE14" s="128" t="s">
        <v>43</v>
      </c>
      <c r="CF14" s="82"/>
      <c r="CG14" s="119"/>
      <c r="CH14" s="128" t="s">
        <v>43</v>
      </c>
      <c r="CI14" s="85"/>
      <c r="CJ14" s="119"/>
      <c r="CK14" s="127" t="s">
        <v>78</v>
      </c>
      <c r="CL14" s="85"/>
      <c r="CM14" s="119"/>
      <c r="CN14" s="128" t="s">
        <v>43</v>
      </c>
      <c r="CO14" s="82"/>
      <c r="CP14" s="119"/>
      <c r="CQ14" s="128" t="s">
        <v>43</v>
      </c>
      <c r="CR14" s="85"/>
      <c r="CS14" s="119"/>
      <c r="CT14" s="127" t="s">
        <v>78</v>
      </c>
      <c r="CU14" s="85"/>
      <c r="CV14" s="119"/>
      <c r="CW14" s="128" t="s">
        <v>43</v>
      </c>
      <c r="CX14" s="82"/>
      <c r="CY14" s="119"/>
      <c r="CZ14" s="128" t="s">
        <v>43</v>
      </c>
      <c r="DA14" s="85"/>
      <c r="DB14" s="403" t="s">
        <v>155</v>
      </c>
      <c r="DC14" s="404"/>
      <c r="DD14" s="82"/>
      <c r="DE14" s="119"/>
      <c r="DF14" s="125" t="s">
        <v>43</v>
      </c>
      <c r="DG14" s="85"/>
      <c r="DH14" s="90"/>
      <c r="DI14" s="90"/>
      <c r="DJ14" s="119"/>
      <c r="DK14" s="125" t="s">
        <v>109</v>
      </c>
      <c r="DL14" s="90"/>
      <c r="DM14" s="90"/>
      <c r="DN14" s="90"/>
      <c r="DO14" s="90"/>
      <c r="DP14" s="90"/>
      <c r="DQ14" s="90"/>
    </row>
    <row r="15" spans="1:125" ht="13.8" thickBot="1" x14ac:dyDescent="0.3">
      <c r="A15" s="154"/>
      <c r="B15" s="154"/>
      <c r="C15" s="154"/>
      <c r="D15" s="79"/>
      <c r="E15" s="80"/>
      <c r="F15" s="81"/>
      <c r="G15" s="116"/>
      <c r="H15" s="117" t="s">
        <v>320</v>
      </c>
      <c r="I15" s="129"/>
      <c r="J15" s="414" t="s">
        <v>136</v>
      </c>
      <c r="K15" s="417"/>
      <c r="L15" s="125"/>
      <c r="M15" s="119"/>
      <c r="N15" s="121" t="s">
        <v>355</v>
      </c>
      <c r="O15" s="118"/>
      <c r="P15" s="82"/>
      <c r="Q15" s="82"/>
      <c r="R15" s="118"/>
      <c r="S15" s="119"/>
      <c r="T15" s="125" t="s">
        <v>95</v>
      </c>
      <c r="U15" s="152"/>
      <c r="V15" s="155"/>
      <c r="W15" s="156" t="s">
        <v>62</v>
      </c>
      <c r="X15" s="127"/>
      <c r="Y15" s="129"/>
      <c r="Z15" s="123">
        <v>-60</v>
      </c>
      <c r="AA15" s="133"/>
      <c r="AB15" s="129"/>
      <c r="AC15" s="123"/>
      <c r="AD15" s="120"/>
      <c r="AE15" s="116"/>
      <c r="AF15" s="121"/>
      <c r="AG15" s="129"/>
      <c r="AH15" s="116"/>
      <c r="AI15" s="157" t="s">
        <v>53</v>
      </c>
      <c r="AJ15" s="119"/>
      <c r="AK15" s="82"/>
      <c r="AL15" s="82"/>
      <c r="AM15" s="129"/>
      <c r="AN15" s="158"/>
      <c r="AO15" s="153"/>
      <c r="AP15" s="93"/>
      <c r="AQ15" s="85"/>
      <c r="AR15" s="85"/>
      <c r="AS15" s="85"/>
      <c r="AT15" s="119"/>
      <c r="AU15" s="110" t="str">
        <f>CONCATENATE("220Vac"," ",'Nuova TCL PASS'!C25)</f>
        <v>220Vac 50 Hz</v>
      </c>
      <c r="AV15" s="85"/>
      <c r="AW15" s="119"/>
      <c r="AX15" s="125" t="s">
        <v>31</v>
      </c>
      <c r="AY15" s="85"/>
      <c r="AZ15" s="141"/>
      <c r="BA15" s="159" t="s">
        <v>79</v>
      </c>
      <c r="BB15" s="82"/>
      <c r="BC15" s="119"/>
      <c r="BD15" s="110" t="str">
        <f>CONCATENATE("220Vac"," ",'Nuova TCL PASS'!C25)</f>
        <v>220Vac 50 Hz</v>
      </c>
      <c r="BE15" s="82"/>
      <c r="BF15" s="119"/>
      <c r="BG15" s="131" t="str">
        <f>CONCATENATE("220Vac"," ",'Nuova TCL PASS'!$C$25)</f>
        <v>220Vac 50 Hz</v>
      </c>
      <c r="BH15" s="85"/>
      <c r="BI15" s="141"/>
      <c r="BJ15" s="159" t="s">
        <v>79</v>
      </c>
      <c r="BK15" s="85"/>
      <c r="BL15" s="119"/>
      <c r="BM15" s="110" t="str">
        <f>CONCATENATE("220Vac"," ",'Nuova TCL PASS'!$C$25)</f>
        <v>220Vac 50 Hz</v>
      </c>
      <c r="BN15" s="82"/>
      <c r="BO15" s="119"/>
      <c r="BP15" s="131" t="str">
        <f>CONCATENATE("220Vac"," ",'Nuova TCL PASS'!$C$25)</f>
        <v>220Vac 50 Hz</v>
      </c>
      <c r="BQ15" s="85"/>
      <c r="BR15" s="141"/>
      <c r="BS15" s="159" t="s">
        <v>79</v>
      </c>
      <c r="BT15" s="85"/>
      <c r="BU15" s="119"/>
      <c r="BV15" s="131" t="str">
        <f>CONCATENATE("220Vac"," ",'Nuova TCL PASS'!$C$25)</f>
        <v>220Vac 50 Hz</v>
      </c>
      <c r="BW15" s="82"/>
      <c r="BX15" s="119"/>
      <c r="BY15" s="131" t="str">
        <f>CONCATENATE("220Vac"," ",'Nuova TCL PASS'!$C$25)</f>
        <v>220Vac 50 Hz</v>
      </c>
      <c r="BZ15" s="129"/>
      <c r="CA15" s="141"/>
      <c r="CB15" s="159" t="s">
        <v>79</v>
      </c>
      <c r="CC15" s="82"/>
      <c r="CD15" s="119"/>
      <c r="CE15" s="131" t="str">
        <f>CONCATENATE("220Vac"," ",'Nuova TCL PASS'!$C$25)</f>
        <v>220Vac 50 Hz</v>
      </c>
      <c r="CF15" s="82"/>
      <c r="CG15" s="119"/>
      <c r="CH15" s="131" t="str">
        <f>CONCATENATE("220Vac"," ",'Nuova TCL PASS'!$C$25)</f>
        <v>220Vac 50 Hz</v>
      </c>
      <c r="CI15" s="85"/>
      <c r="CJ15" s="141"/>
      <c r="CK15" s="159" t="s">
        <v>79</v>
      </c>
      <c r="CL15" s="85"/>
      <c r="CM15" s="119"/>
      <c r="CN15" s="131" t="str">
        <f>CONCATENATE("220Vac"," ",'Nuova TCL PASS'!$C$25)</f>
        <v>220Vac 50 Hz</v>
      </c>
      <c r="CO15" s="82"/>
      <c r="CP15" s="119"/>
      <c r="CQ15" s="131" t="str">
        <f>CONCATENATE("220Vac"," ",'Nuova TCL PASS'!$C$25)</f>
        <v>220Vac 50 Hz</v>
      </c>
      <c r="CR15" s="85"/>
      <c r="CS15" s="141"/>
      <c r="CT15" s="159" t="s">
        <v>79</v>
      </c>
      <c r="CU15" s="85"/>
      <c r="CV15" s="119"/>
      <c r="CW15" s="131" t="str">
        <f>CONCATENATE("220Vac"," ",'Nuova TCL PASS'!$C$25)</f>
        <v>220Vac 50 Hz</v>
      </c>
      <c r="CX15" s="82"/>
      <c r="CY15" s="119"/>
      <c r="CZ15" s="131" t="str">
        <f>CONCATENATE("220Vac"," ",'Nuova TCL PASS'!$C$25)</f>
        <v>220Vac 50 Hz</v>
      </c>
      <c r="DA15" s="85"/>
      <c r="DB15" s="108">
        <v>1</v>
      </c>
      <c r="DC15" s="110"/>
      <c r="DD15" s="82"/>
      <c r="DE15" s="119"/>
      <c r="DF15" s="125" t="s">
        <v>27</v>
      </c>
      <c r="DG15" s="85"/>
      <c r="DH15" s="90"/>
      <c r="DI15" s="90"/>
      <c r="DJ15" s="119"/>
      <c r="DK15" s="125" t="s">
        <v>110</v>
      </c>
      <c r="DL15" s="90"/>
      <c r="DM15" s="107" t="s">
        <v>160</v>
      </c>
      <c r="DN15" s="90"/>
      <c r="DO15" s="90"/>
      <c r="DP15" s="90"/>
      <c r="DQ15" s="90"/>
    </row>
    <row r="16" spans="1:125" ht="13.8" thickBot="1" x14ac:dyDescent="0.3">
      <c r="A16" s="154"/>
      <c r="B16" s="154"/>
      <c r="C16" s="154"/>
      <c r="D16" s="79"/>
      <c r="E16" s="80"/>
      <c r="F16" s="81"/>
      <c r="G16" s="116"/>
      <c r="H16" s="117" t="s">
        <v>368</v>
      </c>
      <c r="I16" s="143"/>
      <c r="J16" s="108">
        <v>1</v>
      </c>
      <c r="K16" s="109"/>
      <c r="L16" s="82"/>
      <c r="M16" s="119"/>
      <c r="N16" s="121" t="s">
        <v>107</v>
      </c>
      <c r="O16" s="118"/>
      <c r="P16" s="82"/>
      <c r="Q16" s="82"/>
      <c r="R16" s="118"/>
      <c r="S16" s="119"/>
      <c r="T16" s="125" t="s">
        <v>98</v>
      </c>
      <c r="U16" s="155"/>
      <c r="V16" s="160"/>
      <c r="W16" s="155"/>
      <c r="X16" s="127"/>
      <c r="Y16" s="82"/>
      <c r="Z16" s="130"/>
      <c r="AA16" s="133"/>
      <c r="AB16" s="82"/>
      <c r="AC16" s="130"/>
      <c r="AD16" s="248"/>
      <c r="AE16" s="116"/>
      <c r="AF16" s="125"/>
      <c r="AG16" s="82"/>
      <c r="AH16" s="116"/>
      <c r="AI16" s="110" t="s">
        <v>62</v>
      </c>
      <c r="AJ16" s="82"/>
      <c r="AK16" s="82"/>
      <c r="AL16" s="82"/>
      <c r="AM16" s="82"/>
      <c r="AN16" s="129"/>
      <c r="AO16" s="129"/>
      <c r="AP16" s="85"/>
      <c r="AQ16" s="85"/>
      <c r="AR16" s="85"/>
      <c r="AS16" s="85"/>
      <c r="AT16" s="119"/>
      <c r="AU16" s="110" t="str">
        <f>CONCATENATE("230Vac"," ",'Nuova TCL PASS'!C25)</f>
        <v>230Vac 50 Hz</v>
      </c>
      <c r="AV16" s="85"/>
      <c r="AW16" s="119"/>
      <c r="AX16" s="125" t="s">
        <v>43</v>
      </c>
      <c r="AY16" s="85"/>
      <c r="AZ16" s="129"/>
      <c r="BA16" s="93"/>
      <c r="BB16" s="82"/>
      <c r="BC16" s="119"/>
      <c r="BD16" s="110" t="str">
        <f>CONCATENATE("230Vac"," ",'Nuova TCL PASS'!C25)</f>
        <v>230Vac 50 Hz</v>
      </c>
      <c r="BE16" s="82"/>
      <c r="BF16" s="119"/>
      <c r="BG16" s="131" t="str">
        <f>CONCATENATE("230Vac"," ",'Nuova TCL PASS'!$C$25)</f>
        <v>230Vac 50 Hz</v>
      </c>
      <c r="BH16" s="85"/>
      <c r="BI16" s="129"/>
      <c r="BJ16" s="129"/>
      <c r="BK16" s="85"/>
      <c r="BL16" s="119"/>
      <c r="BM16" s="110" t="str">
        <f>CONCATENATE("230Vac"," ",'Nuova TCL PASS'!$C$25)</f>
        <v>230Vac 50 Hz</v>
      </c>
      <c r="BN16" s="82"/>
      <c r="BO16" s="119"/>
      <c r="BP16" s="131" t="str">
        <f>CONCATENATE("230Vac"," ",'Nuova TCL PASS'!$C$25)</f>
        <v>230Vac 50 Hz</v>
      </c>
      <c r="BQ16" s="85"/>
      <c r="BR16" s="85"/>
      <c r="BS16" s="85"/>
      <c r="BT16" s="85"/>
      <c r="BU16" s="119"/>
      <c r="BV16" s="131" t="str">
        <f>CONCATENATE("230Vac"," ",'Nuova TCL PASS'!$C$25)</f>
        <v>230Vac 50 Hz</v>
      </c>
      <c r="BW16" s="82"/>
      <c r="BX16" s="119"/>
      <c r="BY16" s="131" t="str">
        <f>CONCATENATE("230Vac"," ",'Nuova TCL PASS'!$C$25)</f>
        <v>230Vac 50 Hz</v>
      </c>
      <c r="BZ16" s="129"/>
      <c r="CA16" s="129"/>
      <c r="CB16" s="93"/>
      <c r="CC16" s="82"/>
      <c r="CD16" s="119"/>
      <c r="CE16" s="131" t="str">
        <f>CONCATENATE("230Vac"," ",'Nuova TCL PASS'!$C$25)</f>
        <v>230Vac 50 Hz</v>
      </c>
      <c r="CF16" s="82"/>
      <c r="CG16" s="119"/>
      <c r="CH16" s="131" t="str">
        <f>CONCATENATE("230Vac"," ",'Nuova TCL PASS'!$C$25)</f>
        <v>230Vac 50 Hz</v>
      </c>
      <c r="CI16" s="85"/>
      <c r="CJ16" s="129"/>
      <c r="CK16" s="129"/>
      <c r="CL16" s="85"/>
      <c r="CM16" s="119"/>
      <c r="CN16" s="131" t="str">
        <f>CONCATENATE("230Vac"," ",'Nuova TCL PASS'!$C$25)</f>
        <v>230Vac 50 Hz</v>
      </c>
      <c r="CO16" s="82"/>
      <c r="CP16" s="119"/>
      <c r="CQ16" s="131" t="str">
        <f>CONCATENATE("230Vac"," ",'Nuova TCL PASS'!$C$25)</f>
        <v>230Vac 50 Hz</v>
      </c>
      <c r="CR16" s="85"/>
      <c r="CS16" s="85"/>
      <c r="CT16" s="85"/>
      <c r="CU16" s="85"/>
      <c r="CV16" s="119"/>
      <c r="CW16" s="131" t="str">
        <f>CONCATENATE("230Vac"," ",'Nuova TCL PASS'!$C$25)</f>
        <v>230Vac 50 Hz</v>
      </c>
      <c r="CX16" s="82"/>
      <c r="CY16" s="119"/>
      <c r="CZ16" s="131" t="str">
        <f>CONCATENATE("230Vac"," ",'Nuova TCL PASS'!$C$25)</f>
        <v>230Vac 50 Hz</v>
      </c>
      <c r="DA16" s="85"/>
      <c r="DB16" s="92"/>
      <c r="DC16" s="125" t="s">
        <v>154</v>
      </c>
      <c r="DD16" s="133"/>
      <c r="DE16" s="119"/>
      <c r="DF16" s="125"/>
      <c r="DG16" s="85"/>
      <c r="DH16" s="90"/>
      <c r="DI16" s="90"/>
      <c r="DJ16" s="119"/>
      <c r="DK16" s="125" t="s">
        <v>111</v>
      </c>
      <c r="DL16" s="90"/>
      <c r="DM16" s="114"/>
      <c r="DN16" s="90"/>
      <c r="DO16" s="90"/>
      <c r="DP16" s="90"/>
      <c r="DQ16" s="90"/>
    </row>
    <row r="17" spans="1:121" ht="13.8" thickBot="1" x14ac:dyDescent="0.3">
      <c r="A17" s="154"/>
      <c r="B17" s="154"/>
      <c r="C17" s="154"/>
      <c r="D17" s="79"/>
      <c r="E17" s="80"/>
      <c r="F17" s="81"/>
      <c r="G17" s="116"/>
      <c r="H17" s="123" t="s">
        <v>369</v>
      </c>
      <c r="I17" s="129"/>
      <c r="J17" s="116"/>
      <c r="K17" s="117" t="s">
        <v>24</v>
      </c>
      <c r="L17" s="82"/>
      <c r="M17" s="119"/>
      <c r="N17" s="125" t="s">
        <v>53</v>
      </c>
      <c r="O17" s="118"/>
      <c r="P17" s="82"/>
      <c r="Q17" s="82"/>
      <c r="R17" s="118"/>
      <c r="S17" s="119"/>
      <c r="T17" s="125" t="s">
        <v>96</v>
      </c>
      <c r="U17" s="155"/>
      <c r="V17" s="155"/>
      <c r="W17" s="155"/>
      <c r="X17" s="127"/>
      <c r="Y17" s="82"/>
      <c r="Z17" s="123"/>
      <c r="AA17" s="133"/>
      <c r="AB17" s="82"/>
      <c r="AC17" s="123"/>
      <c r="AD17" s="120"/>
      <c r="AE17" s="161"/>
      <c r="AF17" s="136"/>
      <c r="AG17" s="129"/>
      <c r="AH17" s="161"/>
      <c r="AI17" s="129"/>
      <c r="AJ17" s="119"/>
      <c r="AK17" s="82"/>
      <c r="AL17" s="85"/>
      <c r="AM17" s="82"/>
      <c r="AN17" s="82"/>
      <c r="AO17" s="82"/>
      <c r="AP17" s="85"/>
      <c r="AQ17" s="85"/>
      <c r="AR17" s="85"/>
      <c r="AS17" s="85"/>
      <c r="AT17" s="141"/>
      <c r="AU17" s="136" t="s">
        <v>27</v>
      </c>
      <c r="AV17" s="85"/>
      <c r="AW17" s="141"/>
      <c r="AX17" s="136" t="s">
        <v>27</v>
      </c>
      <c r="AY17" s="85"/>
      <c r="AZ17" s="129"/>
      <c r="BA17" s="93"/>
      <c r="BB17" s="82"/>
      <c r="BC17" s="119"/>
      <c r="BD17" s="12"/>
      <c r="BE17" s="82"/>
      <c r="BF17" s="119"/>
      <c r="BG17" s="12"/>
      <c r="BH17" s="85"/>
      <c r="BI17" s="129"/>
      <c r="BJ17" s="129"/>
      <c r="BK17" s="85"/>
      <c r="BL17" s="119"/>
      <c r="BM17" s="12"/>
      <c r="BN17" s="82"/>
      <c r="BO17" s="119"/>
      <c r="BP17" s="12"/>
      <c r="BQ17" s="85"/>
      <c r="BR17" s="85"/>
      <c r="BS17" s="85"/>
      <c r="BT17" s="85"/>
      <c r="BU17" s="119"/>
      <c r="BV17" s="12"/>
      <c r="BW17" s="82"/>
      <c r="BX17" s="119"/>
      <c r="BY17" s="12"/>
      <c r="BZ17" s="129"/>
      <c r="CA17" s="129"/>
      <c r="CB17" s="93"/>
      <c r="CC17" s="82"/>
      <c r="CD17" s="119"/>
      <c r="CE17" s="12"/>
      <c r="CF17" s="82"/>
      <c r="CG17" s="119"/>
      <c r="CH17" s="12"/>
      <c r="CI17" s="85"/>
      <c r="CJ17" s="129"/>
      <c r="CK17" s="129"/>
      <c r="CL17" s="85"/>
      <c r="CM17" s="119"/>
      <c r="CN17" s="12"/>
      <c r="CO17" s="82"/>
      <c r="CP17" s="119"/>
      <c r="CQ17" s="12"/>
      <c r="CR17" s="85"/>
      <c r="CS17" s="85"/>
      <c r="CT17" s="85"/>
      <c r="CU17" s="85"/>
      <c r="CV17" s="119"/>
      <c r="CW17" s="12"/>
      <c r="CX17" s="82"/>
      <c r="CY17" s="119"/>
      <c r="CZ17" s="12"/>
      <c r="DA17" s="85"/>
      <c r="DB17" s="92"/>
      <c r="DC17" s="125" t="s">
        <v>344</v>
      </c>
      <c r="DD17" s="133"/>
      <c r="DE17" s="119"/>
      <c r="DF17" s="136"/>
      <c r="DG17" s="85"/>
      <c r="DH17" s="90"/>
      <c r="DI17" s="90"/>
      <c r="DJ17" s="119"/>
      <c r="DK17" s="125" t="s">
        <v>112</v>
      </c>
      <c r="DL17" s="90"/>
      <c r="DM17" s="114" t="s">
        <v>161</v>
      </c>
      <c r="DN17" s="90"/>
      <c r="DO17" s="90"/>
      <c r="DP17" s="90"/>
      <c r="DQ17" s="90"/>
    </row>
    <row r="18" spans="1:121" ht="13.8" thickBot="1" x14ac:dyDescent="0.3">
      <c r="A18" s="154"/>
      <c r="B18" s="154"/>
      <c r="C18" s="154"/>
      <c r="D18" s="79"/>
      <c r="E18" s="80"/>
      <c r="F18" s="81"/>
      <c r="G18" s="116"/>
      <c r="H18" s="123" t="s">
        <v>83</v>
      </c>
      <c r="I18" s="129"/>
      <c r="J18" s="161"/>
      <c r="K18" s="138" t="s">
        <v>25</v>
      </c>
      <c r="L18" s="125"/>
      <c r="M18" s="141"/>
      <c r="N18" s="171" t="s">
        <v>62</v>
      </c>
      <c r="O18" s="82"/>
      <c r="P18" s="82"/>
      <c r="Q18" s="82"/>
      <c r="R18" s="82"/>
      <c r="S18" s="141"/>
      <c r="T18" s="136" t="s">
        <v>97</v>
      </c>
      <c r="U18" s="155"/>
      <c r="V18" s="155"/>
      <c r="W18" s="155"/>
      <c r="X18" s="127"/>
      <c r="Y18" s="85"/>
      <c r="Z18" s="130"/>
      <c r="AA18" s="132"/>
      <c r="AB18" s="85"/>
      <c r="AC18" s="130"/>
      <c r="AD18" s="248"/>
      <c r="AE18" s="248"/>
      <c r="AF18" s="248"/>
      <c r="AG18" s="93"/>
      <c r="AH18" s="140"/>
      <c r="AI18" s="150"/>
      <c r="AJ18" s="85"/>
      <c r="AK18" s="85"/>
      <c r="AL18" s="85"/>
      <c r="AM18" s="82"/>
      <c r="AN18" s="85"/>
      <c r="AO18" s="85"/>
      <c r="AP18" s="85"/>
      <c r="AQ18" s="140"/>
      <c r="AR18" s="85"/>
      <c r="AS18" s="85"/>
      <c r="AT18" s="85"/>
      <c r="AU18" s="85"/>
      <c r="AV18" s="85"/>
      <c r="AW18" s="129"/>
      <c r="AX18" s="129"/>
      <c r="AY18" s="93"/>
      <c r="AZ18" s="93"/>
      <c r="BA18" s="93"/>
      <c r="BB18" s="85"/>
      <c r="BC18" s="141"/>
      <c r="BD18" s="162" t="s">
        <v>27</v>
      </c>
      <c r="BE18" s="85"/>
      <c r="BF18" s="141"/>
      <c r="BG18" s="162" t="s">
        <v>27</v>
      </c>
      <c r="BH18" s="93"/>
      <c r="BI18" s="85"/>
      <c r="BJ18" s="85"/>
      <c r="BK18" s="85"/>
      <c r="BL18" s="141"/>
      <c r="BM18" s="162" t="s">
        <v>27</v>
      </c>
      <c r="BN18" s="82"/>
      <c r="BO18" s="141"/>
      <c r="BP18" s="162" t="s">
        <v>27</v>
      </c>
      <c r="BQ18" s="85"/>
      <c r="BR18" s="85"/>
      <c r="BS18" s="85"/>
      <c r="BT18" s="85"/>
      <c r="BU18" s="141"/>
      <c r="BV18" s="162" t="s">
        <v>27</v>
      </c>
      <c r="BW18" s="82"/>
      <c r="BX18" s="141"/>
      <c r="BY18" s="162" t="s">
        <v>27</v>
      </c>
      <c r="BZ18" s="129"/>
      <c r="CA18" s="93"/>
      <c r="CB18" s="93"/>
      <c r="CC18" s="85"/>
      <c r="CD18" s="141"/>
      <c r="CE18" s="162" t="s">
        <v>27</v>
      </c>
      <c r="CF18" s="85"/>
      <c r="CG18" s="141"/>
      <c r="CH18" s="162" t="s">
        <v>27</v>
      </c>
      <c r="CI18" s="85"/>
      <c r="CJ18" s="85"/>
      <c r="CK18" s="85"/>
      <c r="CL18" s="85"/>
      <c r="CM18" s="141"/>
      <c r="CN18" s="162" t="s">
        <v>27</v>
      </c>
      <c r="CO18" s="82"/>
      <c r="CP18" s="141"/>
      <c r="CQ18" s="162" t="s">
        <v>27</v>
      </c>
      <c r="CR18" s="85"/>
      <c r="CS18" s="85"/>
      <c r="CT18" s="85"/>
      <c r="CU18" s="85"/>
      <c r="CV18" s="141"/>
      <c r="CW18" s="162" t="s">
        <v>27</v>
      </c>
      <c r="CX18" s="82"/>
      <c r="CY18" s="141"/>
      <c r="CZ18" s="162" t="s">
        <v>27</v>
      </c>
      <c r="DA18" s="85"/>
      <c r="DB18" s="119"/>
      <c r="DC18" s="110" t="s">
        <v>378</v>
      </c>
      <c r="DD18" s="85"/>
      <c r="DE18" s="150"/>
      <c r="DF18" s="129"/>
      <c r="DG18" s="93"/>
      <c r="DH18" s="90"/>
      <c r="DI18" s="90"/>
      <c r="DJ18" s="119"/>
      <c r="DK18" s="125" t="s">
        <v>113</v>
      </c>
      <c r="DL18" s="90"/>
      <c r="DM18" s="114" t="s">
        <v>129</v>
      </c>
      <c r="DN18" s="90"/>
      <c r="DO18" s="90"/>
      <c r="DP18" s="90"/>
      <c r="DQ18" s="90"/>
    </row>
    <row r="19" spans="1:121" ht="13.8" thickBot="1" x14ac:dyDescent="0.3">
      <c r="A19" s="154"/>
      <c r="B19" s="154"/>
      <c r="C19" s="154"/>
      <c r="D19" s="79"/>
      <c r="E19" s="80"/>
      <c r="F19" s="81"/>
      <c r="G19" s="119"/>
      <c r="H19" s="123"/>
      <c r="I19" s="82"/>
      <c r="J19" s="150"/>
      <c r="K19" s="142"/>
      <c r="L19" s="129"/>
      <c r="M19" s="129"/>
      <c r="N19" s="82"/>
      <c r="O19" s="82"/>
      <c r="P19" s="82"/>
      <c r="Q19" s="82"/>
      <c r="R19" s="82"/>
      <c r="S19" s="82"/>
      <c r="T19" s="82"/>
      <c r="U19" s="155"/>
      <c r="V19" s="155"/>
      <c r="W19" s="155"/>
      <c r="X19" s="127"/>
      <c r="Y19" s="85"/>
      <c r="Z19" s="123"/>
      <c r="AA19" s="132"/>
      <c r="AB19" s="85"/>
      <c r="AC19" s="123"/>
      <c r="AD19" s="120"/>
      <c r="AE19" s="120"/>
      <c r="AF19" s="120"/>
      <c r="AG19" s="85"/>
      <c r="AH19" s="140"/>
      <c r="AI19" s="93"/>
      <c r="AJ19" s="85"/>
      <c r="AK19" s="85"/>
      <c r="AL19" s="85"/>
      <c r="AM19" s="85"/>
      <c r="AN19" s="85"/>
      <c r="AO19" s="85"/>
      <c r="AP19" s="85"/>
      <c r="AQ19" s="140"/>
      <c r="AR19" s="85"/>
      <c r="AS19" s="85"/>
      <c r="AT19" s="85"/>
      <c r="AU19" s="85"/>
      <c r="AV19" s="85"/>
      <c r="AW19" s="93"/>
      <c r="AX19" s="93"/>
      <c r="AY19" s="85"/>
      <c r="AZ19" s="85"/>
      <c r="BA19" s="85"/>
      <c r="BB19" s="85"/>
      <c r="BC19" s="85"/>
      <c r="BD19" s="85"/>
      <c r="BE19" s="85"/>
      <c r="BF19" s="93"/>
      <c r="BG19" s="93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85"/>
      <c r="BU19" s="85"/>
      <c r="BV19" s="85"/>
      <c r="BW19" s="85"/>
      <c r="BX19" s="85"/>
      <c r="BY19" s="85"/>
      <c r="BZ19" s="85"/>
      <c r="CA19" s="85"/>
      <c r="CB19" s="85"/>
      <c r="CC19" s="85"/>
      <c r="CD19" s="85"/>
      <c r="CE19" s="85"/>
      <c r="CF19" s="85"/>
      <c r="CG19" s="85"/>
      <c r="CH19" s="85"/>
      <c r="CI19" s="85"/>
      <c r="CJ19" s="85"/>
      <c r="CK19" s="85"/>
      <c r="CL19" s="85"/>
      <c r="CM19" s="85"/>
      <c r="CN19" s="85"/>
      <c r="CO19" s="85"/>
      <c r="CP19" s="85"/>
      <c r="CQ19" s="85"/>
      <c r="CR19" s="85"/>
      <c r="CS19" s="85"/>
      <c r="CT19" s="85"/>
      <c r="CU19" s="85"/>
      <c r="CV19" s="85"/>
      <c r="CW19" s="85"/>
      <c r="CX19" s="85"/>
      <c r="CY19" s="85"/>
      <c r="CZ19" s="85"/>
      <c r="DA19" s="85"/>
      <c r="DB19" s="88"/>
      <c r="DC19" s="88"/>
      <c r="DD19" s="85"/>
      <c r="DE19" s="93"/>
      <c r="DF19" s="93"/>
      <c r="DG19" s="85"/>
      <c r="DH19" s="90"/>
      <c r="DI19" s="90"/>
      <c r="DJ19" s="164"/>
      <c r="DK19" s="165" t="s">
        <v>114</v>
      </c>
      <c r="DL19" s="90"/>
      <c r="DM19" s="134" t="s">
        <v>125</v>
      </c>
      <c r="DN19" s="90"/>
      <c r="DO19" s="90"/>
      <c r="DP19" s="90"/>
      <c r="DQ19" s="90"/>
    </row>
    <row r="20" spans="1:121" ht="13.8" thickBot="1" x14ac:dyDescent="0.3">
      <c r="A20" s="154"/>
      <c r="B20" s="154"/>
      <c r="C20" s="154"/>
      <c r="D20" s="79"/>
      <c r="E20" s="80"/>
      <c r="F20" s="81"/>
      <c r="G20" s="141"/>
      <c r="H20" s="171"/>
      <c r="I20" s="129"/>
      <c r="J20" s="82"/>
      <c r="K20" s="142"/>
      <c r="L20" s="82"/>
      <c r="M20" s="82"/>
      <c r="N20" s="82"/>
      <c r="O20" s="82"/>
      <c r="P20" s="82"/>
      <c r="Q20" s="82"/>
      <c r="R20" s="82"/>
      <c r="S20" s="82"/>
      <c r="T20" s="82"/>
      <c r="U20" s="155"/>
      <c r="V20" s="155"/>
      <c r="W20" s="155"/>
      <c r="X20" s="127"/>
      <c r="Y20" s="85"/>
      <c r="Z20" s="130"/>
      <c r="AA20" s="132"/>
      <c r="AB20" s="85"/>
      <c r="AC20" s="130"/>
      <c r="AD20" s="248"/>
      <c r="AE20" s="248"/>
      <c r="AF20" s="248"/>
      <c r="AG20" s="85"/>
      <c r="AH20" s="81"/>
      <c r="AI20" s="110"/>
      <c r="AJ20" s="85"/>
      <c r="AK20" s="85"/>
      <c r="AL20" s="85"/>
      <c r="AM20" s="85"/>
      <c r="AN20" s="85"/>
      <c r="AO20" s="85"/>
      <c r="AP20" s="85"/>
      <c r="AQ20" s="140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85"/>
      <c r="BU20" s="85"/>
      <c r="BV20" s="85"/>
      <c r="BW20" s="85"/>
      <c r="BX20" s="85"/>
      <c r="BY20" s="85"/>
      <c r="BZ20" s="85"/>
      <c r="CA20" s="85"/>
      <c r="CB20" s="85"/>
      <c r="CC20" s="85"/>
      <c r="CD20" s="85"/>
      <c r="CE20" s="85"/>
      <c r="CF20" s="85"/>
      <c r="CG20" s="85"/>
      <c r="CH20" s="85"/>
      <c r="CI20" s="85"/>
      <c r="CJ20" s="85"/>
      <c r="CK20" s="85"/>
      <c r="CL20" s="85"/>
      <c r="CM20" s="85"/>
      <c r="CN20" s="85"/>
      <c r="CO20" s="85"/>
      <c r="CP20" s="85"/>
      <c r="CQ20" s="85"/>
      <c r="CR20" s="85"/>
      <c r="CS20" s="85"/>
      <c r="CT20" s="85"/>
      <c r="CU20" s="85"/>
      <c r="CV20" s="85"/>
      <c r="CW20" s="85"/>
      <c r="CX20" s="85"/>
      <c r="CY20" s="85"/>
      <c r="CZ20" s="85"/>
      <c r="DA20" s="85"/>
      <c r="DB20" s="85"/>
      <c r="DC20" s="85"/>
      <c r="DD20" s="85"/>
      <c r="DE20" s="85"/>
      <c r="DF20" s="85"/>
      <c r="DG20" s="85"/>
      <c r="DH20" s="90"/>
      <c r="DI20" s="90"/>
      <c r="DJ20" s="164"/>
      <c r="DK20" s="165" t="s">
        <v>115</v>
      </c>
      <c r="DL20" s="90"/>
      <c r="DM20" s="90"/>
      <c r="DN20" s="90"/>
      <c r="DO20" s="90"/>
      <c r="DP20" s="90"/>
      <c r="DQ20" s="90"/>
    </row>
    <row r="21" spans="1:121" ht="27" thickBot="1" x14ac:dyDescent="0.3">
      <c r="A21" s="154"/>
      <c r="B21" s="154"/>
      <c r="C21" s="154"/>
      <c r="D21" s="79"/>
      <c r="E21" s="80"/>
      <c r="F21" s="81"/>
      <c r="G21" s="129"/>
      <c r="H21" s="151"/>
      <c r="I21" s="82"/>
      <c r="J21" s="82"/>
      <c r="K21" s="142"/>
      <c r="L21" s="82"/>
      <c r="M21" s="82"/>
      <c r="N21" s="82"/>
      <c r="O21" s="82"/>
      <c r="P21" s="82"/>
      <c r="Q21" s="82"/>
      <c r="R21" s="82"/>
      <c r="S21" s="82"/>
      <c r="T21" s="82"/>
      <c r="U21" s="155"/>
      <c r="V21" s="155"/>
      <c r="W21" s="155"/>
      <c r="X21" s="127"/>
      <c r="Y21" s="85"/>
      <c r="Z21" s="123"/>
      <c r="AA21" s="132"/>
      <c r="AB21" s="85"/>
      <c r="AC21" s="123"/>
      <c r="AD21" s="120"/>
      <c r="AE21" s="120"/>
      <c r="AF21" s="120"/>
      <c r="AG21" s="85"/>
      <c r="AH21" s="81"/>
      <c r="AI21" s="85"/>
      <c r="AJ21" s="85"/>
      <c r="AK21" s="85"/>
      <c r="AL21" s="85"/>
      <c r="AM21" s="85"/>
      <c r="AN21" s="140"/>
      <c r="AO21" s="84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7" t="s">
        <v>84</v>
      </c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81"/>
      <c r="CA21" s="168"/>
      <c r="CB21" s="168"/>
      <c r="CC21" s="168"/>
      <c r="CD21" s="168"/>
      <c r="CE21" s="168"/>
      <c r="CF21" s="168"/>
      <c r="CG21" s="168"/>
      <c r="CH21" s="168"/>
      <c r="CI21" s="168"/>
      <c r="CJ21" s="168"/>
      <c r="CK21" s="169" t="s">
        <v>85</v>
      </c>
      <c r="CL21" s="168"/>
      <c r="CM21" s="168"/>
      <c r="CN21" s="168"/>
      <c r="CO21" s="168"/>
      <c r="CP21" s="168"/>
      <c r="CQ21" s="168"/>
      <c r="CR21" s="168"/>
      <c r="CS21" s="168"/>
      <c r="CT21" s="168"/>
      <c r="CU21" s="168"/>
      <c r="CV21" s="168"/>
      <c r="CW21" s="168"/>
      <c r="CX21" s="168"/>
      <c r="CY21" s="168"/>
      <c r="CZ21" s="168"/>
      <c r="DA21" s="85"/>
      <c r="DB21" s="403" t="s">
        <v>156</v>
      </c>
      <c r="DC21" s="404"/>
      <c r="DD21" s="85"/>
      <c r="DE21" s="85"/>
      <c r="DF21" s="85"/>
      <c r="DG21" s="85"/>
      <c r="DH21" s="90"/>
      <c r="DI21" s="90"/>
      <c r="DJ21" s="170"/>
      <c r="DK21" s="171" t="s">
        <v>116</v>
      </c>
      <c r="DL21" s="90"/>
      <c r="DM21" s="90"/>
      <c r="DN21" s="90"/>
      <c r="DO21" s="90"/>
      <c r="DP21" s="90"/>
      <c r="DQ21" s="90"/>
    </row>
    <row r="22" spans="1:121" ht="13.8" thickBot="1" x14ac:dyDescent="0.3">
      <c r="A22" s="154"/>
      <c r="B22" s="154"/>
      <c r="C22" s="154"/>
      <c r="D22" s="79"/>
      <c r="E22" s="80"/>
      <c r="F22" s="81"/>
      <c r="G22" s="414" t="s">
        <v>135</v>
      </c>
      <c r="H22" s="417"/>
      <c r="I22" s="82"/>
      <c r="J22" s="414" t="s">
        <v>136</v>
      </c>
      <c r="K22" s="417"/>
      <c r="L22" s="82"/>
      <c r="M22" s="82"/>
      <c r="N22" s="82"/>
      <c r="O22" s="82"/>
      <c r="P22" s="401" t="s">
        <v>146</v>
      </c>
      <c r="Q22" s="402"/>
      <c r="R22" s="82"/>
      <c r="S22" s="82"/>
      <c r="T22" s="82"/>
      <c r="U22" s="155"/>
      <c r="V22" s="155"/>
      <c r="W22" s="155"/>
      <c r="X22" s="127"/>
      <c r="Y22" s="85"/>
      <c r="Z22" s="130"/>
      <c r="AA22" s="132"/>
      <c r="AB22" s="85"/>
      <c r="AC22" s="130"/>
      <c r="AD22" s="248"/>
      <c r="AE22" s="248"/>
      <c r="AF22" s="248"/>
      <c r="AG22" s="85"/>
      <c r="AH22" s="81"/>
      <c r="AI22" s="85"/>
      <c r="AJ22" s="85"/>
      <c r="AK22" s="85"/>
      <c r="AL22" s="140"/>
      <c r="AM22" s="140"/>
      <c r="AN22" s="140"/>
      <c r="AO22" s="163"/>
      <c r="AP22" s="140"/>
      <c r="AQ22" s="85"/>
      <c r="AR22" s="85"/>
      <c r="AS22" s="163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85"/>
      <c r="BU22" s="85"/>
      <c r="BV22" s="85"/>
      <c r="BW22" s="85"/>
      <c r="BX22" s="85"/>
      <c r="BY22" s="85"/>
      <c r="BZ22" s="85"/>
      <c r="CA22" s="85"/>
      <c r="CB22" s="85"/>
      <c r="CC22" s="85"/>
      <c r="CD22" s="85"/>
      <c r="CE22" s="85"/>
      <c r="CF22" s="85"/>
      <c r="CG22" s="85"/>
      <c r="CH22" s="85"/>
      <c r="CI22" s="85"/>
      <c r="CJ22" s="85"/>
      <c r="CK22" s="85"/>
      <c r="CL22" s="85"/>
      <c r="CM22" s="85"/>
      <c r="CN22" s="85"/>
      <c r="CO22" s="85"/>
      <c r="CP22" s="85"/>
      <c r="CQ22" s="85"/>
      <c r="CR22" s="85"/>
      <c r="CS22" s="85"/>
      <c r="CT22" s="85"/>
      <c r="CU22" s="85"/>
      <c r="CV22" s="85"/>
      <c r="CW22" s="85"/>
      <c r="CX22" s="85"/>
      <c r="CY22" s="85"/>
      <c r="CZ22" s="85"/>
      <c r="DA22" s="85"/>
      <c r="DB22" s="108">
        <v>1</v>
      </c>
      <c r="DC22" s="110"/>
      <c r="DD22" s="85"/>
      <c r="DE22" s="85"/>
      <c r="DF22" s="85"/>
      <c r="DG22" s="85"/>
      <c r="DH22" s="90"/>
      <c r="DI22" s="90"/>
      <c r="DJ22" s="172"/>
      <c r="DK22" s="172"/>
      <c r="DL22" s="90"/>
      <c r="DM22" s="90"/>
      <c r="DN22" s="90"/>
      <c r="DO22" s="90"/>
      <c r="DP22" s="90"/>
      <c r="DQ22" s="90"/>
    </row>
    <row r="23" spans="1:121" ht="27" thickBot="1" x14ac:dyDescent="0.3">
      <c r="A23" s="154"/>
      <c r="B23" s="154"/>
      <c r="C23" s="154"/>
      <c r="D23" s="79"/>
      <c r="E23" s="80"/>
      <c r="F23" s="79"/>
      <c r="G23" s="108">
        <v>1</v>
      </c>
      <c r="H23" s="109"/>
      <c r="I23" s="142"/>
      <c r="J23" s="108">
        <v>1</v>
      </c>
      <c r="K23" s="173"/>
      <c r="L23" s="142"/>
      <c r="M23" s="142"/>
      <c r="N23" s="142"/>
      <c r="O23" s="142"/>
      <c r="P23" s="108">
        <v>1</v>
      </c>
      <c r="Q23" s="110" t="s">
        <v>102</v>
      </c>
      <c r="R23" s="142"/>
      <c r="S23" s="142"/>
      <c r="T23" s="142"/>
      <c r="U23" s="174"/>
      <c r="V23" s="174"/>
      <c r="W23" s="174"/>
      <c r="X23" s="175"/>
      <c r="Y23" s="90"/>
      <c r="Z23" s="123"/>
      <c r="AA23" s="176"/>
      <c r="AB23" s="90"/>
      <c r="AC23" s="123"/>
      <c r="AD23" s="120"/>
      <c r="AE23" s="120"/>
      <c r="AF23" s="120"/>
      <c r="AG23" s="90"/>
      <c r="AH23" s="79"/>
      <c r="AI23" s="90"/>
      <c r="AJ23" s="90"/>
      <c r="AK23" s="90"/>
      <c r="AL23" s="177"/>
      <c r="AM23" s="177"/>
      <c r="AN23" s="177"/>
      <c r="AO23" s="177"/>
      <c r="AP23" s="90"/>
      <c r="AQ23" s="90"/>
      <c r="AR23" s="90"/>
      <c r="AS23" s="177"/>
      <c r="AT23" s="85"/>
      <c r="AU23" s="85"/>
      <c r="AV23" s="90"/>
      <c r="AW23" s="90"/>
      <c r="AX23" s="90"/>
      <c r="AY23" s="90"/>
      <c r="AZ23" s="90"/>
      <c r="BA23" s="90"/>
      <c r="BB23" s="90"/>
      <c r="BC23" s="90"/>
      <c r="BD23" s="90"/>
      <c r="BE23" s="90"/>
      <c r="BF23" s="90"/>
      <c r="BG23" s="90"/>
      <c r="BH23" s="90"/>
      <c r="BI23" s="90"/>
      <c r="BJ23" s="90"/>
      <c r="BK23" s="90"/>
      <c r="BL23" s="90"/>
      <c r="BM23" s="90"/>
      <c r="BN23" s="90"/>
      <c r="BO23" s="90"/>
      <c r="BP23" s="90"/>
      <c r="BQ23" s="90"/>
      <c r="BR23" s="90"/>
      <c r="BS23" s="90"/>
      <c r="BT23" s="90"/>
      <c r="BU23" s="90"/>
      <c r="BV23" s="90"/>
      <c r="BW23" s="90"/>
      <c r="BX23" s="90"/>
      <c r="BY23" s="90"/>
      <c r="BZ23" s="90"/>
      <c r="CA23" s="90"/>
      <c r="CB23" s="90"/>
      <c r="CC23" s="90"/>
      <c r="CD23" s="90"/>
      <c r="CE23" s="90"/>
      <c r="CF23" s="90"/>
      <c r="CG23" s="90"/>
      <c r="CH23" s="90"/>
      <c r="CI23" s="90"/>
      <c r="CJ23" s="90"/>
      <c r="CK23" s="90"/>
      <c r="CL23" s="90"/>
      <c r="CM23" s="90"/>
      <c r="CN23" s="90"/>
      <c r="CO23" s="90"/>
      <c r="CP23" s="90"/>
      <c r="CQ23" s="90"/>
      <c r="CR23" s="90"/>
      <c r="CS23" s="90"/>
      <c r="CT23" s="90"/>
      <c r="CU23" s="90"/>
      <c r="CV23" s="90"/>
      <c r="CW23" s="90"/>
      <c r="CX23" s="90"/>
      <c r="CY23" s="90"/>
      <c r="CZ23" s="90"/>
      <c r="DA23" s="90"/>
      <c r="DB23" s="92"/>
      <c r="DC23" s="126" t="s">
        <v>158</v>
      </c>
      <c r="DD23" s="90"/>
      <c r="DE23" s="90"/>
      <c r="DF23" s="90"/>
      <c r="DG23" s="90"/>
      <c r="DH23" s="90"/>
      <c r="DI23" s="90"/>
      <c r="DJ23" s="90"/>
      <c r="DK23" s="90"/>
      <c r="DL23" s="90"/>
      <c r="DM23" s="90"/>
      <c r="DN23" s="90"/>
      <c r="DO23" s="90"/>
      <c r="DP23" s="90"/>
      <c r="DQ23" s="90"/>
    </row>
    <row r="24" spans="1:121" x14ac:dyDescent="0.25">
      <c r="A24" s="154"/>
      <c r="B24" s="154"/>
      <c r="C24" s="154"/>
      <c r="D24" s="79"/>
      <c r="E24" s="80"/>
      <c r="F24" s="79"/>
      <c r="G24" s="116"/>
      <c r="H24" s="117" t="s">
        <v>132</v>
      </c>
      <c r="I24" s="142"/>
      <c r="J24" s="142"/>
      <c r="K24" s="178" t="s">
        <v>138</v>
      </c>
      <c r="L24" s="142"/>
      <c r="M24" s="142"/>
      <c r="N24" s="142"/>
      <c r="O24" s="142"/>
      <c r="P24" s="119"/>
      <c r="Q24" s="121">
        <v>1</v>
      </c>
      <c r="R24" s="142"/>
      <c r="S24" s="142"/>
      <c r="T24" s="142"/>
      <c r="U24" s="174"/>
      <c r="V24" s="174"/>
      <c r="W24" s="174"/>
      <c r="X24" s="175"/>
      <c r="Y24" s="90"/>
      <c r="Z24" s="130"/>
      <c r="AA24" s="176"/>
      <c r="AB24" s="90"/>
      <c r="AC24" s="130"/>
      <c r="AD24" s="248"/>
      <c r="AE24" s="248"/>
      <c r="AF24" s="248"/>
      <c r="AG24" s="90"/>
      <c r="AH24" s="79"/>
      <c r="AI24" s="90"/>
      <c r="AJ24" s="90"/>
      <c r="AK24" s="90"/>
      <c r="AL24" s="177"/>
      <c r="AM24" s="177"/>
      <c r="AN24" s="90"/>
      <c r="AO24" s="90"/>
      <c r="AP24" s="90"/>
      <c r="AQ24" s="90"/>
      <c r="AR24" s="90"/>
      <c r="AS24" s="177"/>
      <c r="AT24" s="177"/>
      <c r="AU24" s="90"/>
      <c r="AV24" s="90"/>
      <c r="AW24" s="90"/>
      <c r="AX24" s="90"/>
      <c r="AY24" s="90"/>
      <c r="AZ24" s="90"/>
      <c r="BA24" s="90"/>
      <c r="BB24" s="90"/>
      <c r="BC24" s="90"/>
      <c r="BD24" s="90"/>
      <c r="BE24" s="90"/>
      <c r="BF24" s="90"/>
      <c r="BG24" s="90"/>
      <c r="BH24" s="90"/>
      <c r="BI24" s="90"/>
      <c r="BJ24" s="90"/>
      <c r="BK24" s="90"/>
      <c r="BL24" s="90"/>
      <c r="BM24" s="90"/>
      <c r="BN24" s="90"/>
      <c r="BO24" s="90"/>
      <c r="BP24" s="90"/>
      <c r="BQ24" s="90"/>
      <c r="BR24" s="90"/>
      <c r="BS24" s="90"/>
      <c r="BT24" s="90"/>
      <c r="BU24" s="90"/>
      <c r="BV24" s="90"/>
      <c r="BW24" s="90"/>
      <c r="BX24" s="90"/>
      <c r="BY24" s="90"/>
      <c r="BZ24" s="90"/>
      <c r="CA24" s="90"/>
      <c r="CB24" s="90"/>
      <c r="CC24" s="90"/>
      <c r="CD24" s="90"/>
      <c r="CE24" s="90"/>
      <c r="CF24" s="90"/>
      <c r="CG24" s="90"/>
      <c r="CH24" s="90"/>
      <c r="CI24" s="90"/>
      <c r="CJ24" s="90"/>
      <c r="CK24" s="90"/>
      <c r="CL24" s="90"/>
      <c r="CM24" s="90"/>
      <c r="CN24" s="90"/>
      <c r="CO24" s="90"/>
      <c r="CP24" s="90"/>
      <c r="CQ24" s="90"/>
      <c r="CR24" s="90"/>
      <c r="CS24" s="90"/>
      <c r="CT24" s="90"/>
      <c r="CU24" s="90"/>
      <c r="CV24" s="90"/>
      <c r="CW24" s="90"/>
      <c r="CX24" s="90"/>
      <c r="CY24" s="90"/>
      <c r="CZ24" s="90"/>
      <c r="DA24" s="90"/>
      <c r="DB24" s="92"/>
      <c r="DC24" s="125" t="s">
        <v>157</v>
      </c>
      <c r="DD24" s="90"/>
      <c r="DE24" s="90"/>
      <c r="DF24" s="90"/>
      <c r="DG24" s="90"/>
      <c r="DH24" s="90"/>
      <c r="DI24" s="90"/>
      <c r="DJ24" s="90"/>
      <c r="DK24" s="90"/>
      <c r="DL24" s="90"/>
      <c r="DM24" s="90"/>
      <c r="DN24" s="90"/>
      <c r="DO24" s="90"/>
      <c r="DP24" s="90"/>
      <c r="DQ24" s="90"/>
    </row>
    <row r="25" spans="1:121" ht="13.8" thickBot="1" x14ac:dyDescent="0.3">
      <c r="A25" s="99"/>
      <c r="B25" s="99"/>
      <c r="C25" s="99"/>
      <c r="D25" s="79"/>
      <c r="E25" s="80"/>
      <c r="F25" s="79"/>
      <c r="G25" s="116"/>
      <c r="H25" s="123" t="s">
        <v>133</v>
      </c>
      <c r="I25" s="142"/>
      <c r="J25" s="142"/>
      <c r="K25" s="179" t="s">
        <v>139</v>
      </c>
      <c r="L25" s="142"/>
      <c r="M25" s="142"/>
      <c r="N25" s="142"/>
      <c r="O25" s="142"/>
      <c r="P25" s="119"/>
      <c r="Q25" s="110">
        <v>2</v>
      </c>
      <c r="R25" s="142"/>
      <c r="S25" s="142"/>
      <c r="T25" s="142"/>
      <c r="U25" s="174"/>
      <c r="V25" s="174"/>
      <c r="W25" s="174"/>
      <c r="X25" s="175"/>
      <c r="Y25" s="90"/>
      <c r="Z25" s="123"/>
      <c r="AA25" s="176"/>
      <c r="AB25" s="90"/>
      <c r="AC25" s="90"/>
      <c r="AD25" s="90"/>
      <c r="AE25" s="90"/>
      <c r="AF25" s="90"/>
      <c r="AG25" s="90"/>
      <c r="AH25" s="79"/>
      <c r="AI25" s="90"/>
      <c r="AJ25" s="90"/>
      <c r="AK25" s="90"/>
      <c r="AL25" s="90"/>
      <c r="AM25" s="90"/>
      <c r="AN25" s="90"/>
      <c r="AO25" s="90"/>
      <c r="AP25" s="90"/>
      <c r="AQ25" s="90"/>
      <c r="AR25" s="90"/>
      <c r="AS25" s="90"/>
      <c r="AT25" s="177"/>
      <c r="AU25" s="90"/>
      <c r="AV25" s="90"/>
      <c r="AW25" s="90"/>
      <c r="AX25" s="90"/>
      <c r="AY25" s="90"/>
      <c r="AZ25" s="90"/>
      <c r="BA25" s="90"/>
      <c r="BB25" s="90"/>
      <c r="BC25" s="90"/>
      <c r="BD25" s="90"/>
      <c r="BE25" s="90"/>
      <c r="BF25" s="90"/>
      <c r="BG25" s="90"/>
      <c r="BH25" s="90"/>
      <c r="BI25" s="90"/>
      <c r="BJ25" s="90"/>
      <c r="BK25" s="90"/>
      <c r="BL25" s="90"/>
      <c r="BM25" s="90"/>
      <c r="BN25" s="90"/>
      <c r="BO25" s="90"/>
      <c r="BP25" s="90"/>
      <c r="BQ25" s="90"/>
      <c r="BR25" s="90"/>
      <c r="BS25" s="90"/>
      <c r="BT25" s="90"/>
      <c r="BU25" s="90"/>
      <c r="BV25" s="90"/>
      <c r="BW25" s="90"/>
      <c r="BX25" s="90"/>
      <c r="BY25" s="90"/>
      <c r="BZ25" s="90"/>
      <c r="CA25" s="90"/>
      <c r="CB25" s="90"/>
      <c r="CC25" s="90"/>
      <c r="CD25" s="90"/>
      <c r="CE25" s="90"/>
      <c r="CF25" s="90"/>
      <c r="CG25" s="90"/>
      <c r="CH25" s="90"/>
      <c r="CI25" s="90"/>
      <c r="CJ25" s="90"/>
      <c r="CK25" s="90"/>
      <c r="CL25" s="90"/>
      <c r="CM25" s="90"/>
      <c r="CN25" s="90"/>
      <c r="CO25" s="90"/>
      <c r="CP25" s="90"/>
      <c r="CQ25" s="90"/>
      <c r="CR25" s="90"/>
      <c r="CS25" s="90"/>
      <c r="CT25" s="90"/>
      <c r="CU25" s="90"/>
      <c r="CV25" s="90"/>
      <c r="CW25" s="90"/>
      <c r="CX25" s="90"/>
      <c r="CY25" s="90"/>
      <c r="CZ25" s="90"/>
      <c r="DA25" s="90"/>
      <c r="DB25" s="119"/>
      <c r="DC25" s="110" t="s">
        <v>62</v>
      </c>
      <c r="DD25" s="90"/>
      <c r="DE25" s="90"/>
      <c r="DF25" s="90"/>
      <c r="DG25" s="90"/>
      <c r="DH25" s="90"/>
      <c r="DI25" s="90"/>
      <c r="DJ25" s="90"/>
      <c r="DK25" s="90"/>
      <c r="DL25" s="90"/>
      <c r="DM25" s="90"/>
      <c r="DN25" s="90"/>
      <c r="DO25" s="90"/>
      <c r="DP25" s="90"/>
      <c r="DQ25" s="90"/>
    </row>
    <row r="26" spans="1:121" ht="13.8" thickBot="1" x14ac:dyDescent="0.3">
      <c r="A26" s="99"/>
      <c r="B26" s="99"/>
      <c r="C26" s="99"/>
      <c r="D26" s="79"/>
      <c r="E26" s="80"/>
      <c r="F26" s="79"/>
      <c r="G26" s="119"/>
      <c r="H26" s="123" t="s">
        <v>134</v>
      </c>
      <c r="I26" s="142"/>
      <c r="J26" s="142"/>
      <c r="K26" s="142"/>
      <c r="L26" s="142"/>
      <c r="M26" s="142"/>
      <c r="N26" s="142"/>
      <c r="O26" s="142"/>
      <c r="P26" s="119"/>
      <c r="Q26" s="121">
        <v>3</v>
      </c>
      <c r="R26" s="142"/>
      <c r="S26" s="142"/>
      <c r="T26" s="142"/>
      <c r="U26" s="174"/>
      <c r="V26" s="174"/>
      <c r="W26" s="174"/>
      <c r="X26" s="175"/>
      <c r="Y26" s="90"/>
      <c r="Z26" s="130"/>
      <c r="AA26" s="90"/>
      <c r="AB26" s="172"/>
      <c r="AC26" s="181"/>
      <c r="AD26" s="120"/>
      <c r="AE26" s="120"/>
      <c r="AF26" s="120"/>
      <c r="AG26" s="154"/>
      <c r="AH26" s="79"/>
      <c r="AI26" s="90"/>
      <c r="AJ26" s="90"/>
      <c r="AK26" s="90"/>
      <c r="AL26" s="90"/>
      <c r="AM26" s="90"/>
      <c r="AN26" s="90"/>
      <c r="AO26" s="90"/>
      <c r="AP26" s="90"/>
      <c r="AQ26" s="90"/>
      <c r="AR26" s="90"/>
      <c r="AS26" s="90"/>
      <c r="AT26" s="177"/>
      <c r="AU26" s="90"/>
      <c r="AV26" s="90"/>
      <c r="AW26" s="90"/>
      <c r="AX26" s="90"/>
      <c r="AY26" s="90"/>
      <c r="AZ26" s="90"/>
      <c r="BA26" s="90"/>
      <c r="BB26" s="90"/>
      <c r="BC26" s="90"/>
      <c r="BD26" s="90"/>
      <c r="BE26" s="90"/>
      <c r="BF26" s="90"/>
      <c r="BG26" s="90"/>
      <c r="BH26" s="90"/>
      <c r="BI26" s="90"/>
      <c r="BJ26" s="90"/>
      <c r="BK26" s="90"/>
      <c r="BL26" s="90"/>
      <c r="BM26" s="90"/>
      <c r="BN26" s="90"/>
      <c r="BO26" s="90"/>
      <c r="BP26" s="90"/>
      <c r="BQ26" s="90"/>
      <c r="BR26" s="90"/>
      <c r="BS26" s="90"/>
      <c r="BT26" s="90"/>
      <c r="BU26" s="90"/>
      <c r="BV26" s="90"/>
      <c r="BW26" s="90"/>
      <c r="BX26" s="90"/>
      <c r="BY26" s="90"/>
      <c r="BZ26" s="90"/>
      <c r="CA26" s="90"/>
      <c r="CB26" s="90"/>
      <c r="CC26" s="90"/>
      <c r="CD26" s="90"/>
      <c r="CE26" s="90"/>
      <c r="CF26" s="90"/>
      <c r="CG26" s="90"/>
      <c r="CH26" s="90"/>
      <c r="CI26" s="90"/>
      <c r="CJ26" s="90"/>
      <c r="CK26" s="90"/>
      <c r="CL26" s="90"/>
      <c r="CM26" s="90"/>
      <c r="CN26" s="90"/>
      <c r="CO26" s="90"/>
      <c r="CP26" s="90"/>
      <c r="CQ26" s="90"/>
      <c r="CR26" s="90"/>
      <c r="CS26" s="90"/>
      <c r="CT26" s="90"/>
      <c r="CU26" s="90"/>
      <c r="CV26" s="90"/>
      <c r="CW26" s="90"/>
      <c r="CX26" s="90"/>
      <c r="CY26" s="90"/>
      <c r="CZ26" s="90"/>
      <c r="DA26" s="90"/>
      <c r="DB26" s="172"/>
      <c r="DC26" s="172"/>
      <c r="DD26" s="90"/>
      <c r="DE26" s="90"/>
      <c r="DF26" s="90"/>
      <c r="DG26" s="90"/>
      <c r="DH26" s="90"/>
      <c r="DI26" s="90"/>
      <c r="DJ26" s="90"/>
      <c r="DK26" s="90"/>
      <c r="DL26" s="90"/>
      <c r="DM26" s="90"/>
      <c r="DN26" s="90"/>
      <c r="DO26" s="90"/>
      <c r="DP26" s="90"/>
      <c r="DQ26" s="90"/>
    </row>
    <row r="27" spans="1:121" ht="13.8" thickBot="1" x14ac:dyDescent="0.3">
      <c r="A27" s="14"/>
      <c r="B27" s="14"/>
      <c r="C27" s="14"/>
      <c r="G27" s="150"/>
      <c r="H27" s="150"/>
      <c r="P27" s="41"/>
      <c r="Q27" s="51" t="s">
        <v>62</v>
      </c>
      <c r="X27" s="12"/>
      <c r="Z27" s="47"/>
      <c r="AC27" s="57"/>
      <c r="AD27" s="57"/>
      <c r="AE27" s="57"/>
      <c r="AF27" s="57"/>
      <c r="AT27" s="90"/>
      <c r="AU27" s="90"/>
      <c r="DF27" s="90"/>
      <c r="DG27" s="90"/>
      <c r="DH27" s="90"/>
      <c r="DI27" s="90"/>
    </row>
    <row r="28" spans="1:121" ht="13.8" thickBot="1" x14ac:dyDescent="0.3">
      <c r="A28" s="14"/>
      <c r="B28" s="14"/>
      <c r="C28" s="14"/>
      <c r="G28" s="414" t="s">
        <v>101</v>
      </c>
      <c r="H28" s="417"/>
      <c r="X28" s="12"/>
      <c r="Z28" s="53"/>
      <c r="AC28" s="48"/>
      <c r="AD28" s="48"/>
      <c r="AE28" s="48"/>
      <c r="AF28" s="48"/>
      <c r="DB28" s="399" t="s">
        <v>156</v>
      </c>
      <c r="DC28" s="400"/>
      <c r="DF28" s="90"/>
      <c r="DG28" s="90"/>
      <c r="DH28" s="90"/>
      <c r="DI28" s="90"/>
    </row>
    <row r="29" spans="1:121" ht="13.8" thickBot="1" x14ac:dyDescent="0.3">
      <c r="A29" s="17"/>
      <c r="B29" s="17"/>
      <c r="C29" s="17"/>
      <c r="G29" s="108">
        <v>1</v>
      </c>
      <c r="H29" s="109"/>
      <c r="X29" s="12"/>
      <c r="Z29" s="47"/>
      <c r="AA29" s="316"/>
      <c r="AC29" s="57"/>
      <c r="AD29" s="57"/>
      <c r="AE29" s="57"/>
      <c r="AF29" s="57"/>
      <c r="DB29" s="29">
        <v>1</v>
      </c>
      <c r="DC29" s="45"/>
      <c r="DF29" s="90"/>
      <c r="DG29" s="90"/>
      <c r="DH29" s="90"/>
      <c r="DI29" s="90"/>
    </row>
    <row r="30" spans="1:121" x14ac:dyDescent="0.25">
      <c r="A30" s="52"/>
      <c r="B30" s="17"/>
      <c r="C30" s="17"/>
      <c r="G30" s="116"/>
      <c r="H30" s="117" t="s">
        <v>179</v>
      </c>
      <c r="X30" s="12"/>
      <c r="Z30" s="53"/>
      <c r="AC30" s="48"/>
      <c r="AD30" s="48"/>
      <c r="AE30" s="48"/>
      <c r="AF30" s="48"/>
      <c r="DB30" s="40"/>
      <c r="DC30" s="312" t="s">
        <v>390</v>
      </c>
      <c r="DD30" s="11"/>
      <c r="DF30" s="90"/>
      <c r="DG30" s="90"/>
      <c r="DH30" s="90"/>
      <c r="DI30" s="90"/>
      <c r="DJ30"/>
      <c r="DK30"/>
      <c r="DL30"/>
    </row>
    <row r="31" spans="1:121" x14ac:dyDescent="0.25">
      <c r="A31" s="14"/>
      <c r="B31" s="5"/>
      <c r="C31" s="5"/>
      <c r="G31" s="116"/>
      <c r="H31" s="123" t="s">
        <v>180</v>
      </c>
      <c r="I31" s="10"/>
      <c r="X31" s="12"/>
      <c r="Z31" s="47"/>
      <c r="AC31" s="57"/>
      <c r="AD31" s="57"/>
      <c r="AE31" s="57"/>
      <c r="AF31" s="57"/>
      <c r="DB31" s="40"/>
      <c r="DC31" s="311" t="s">
        <v>391</v>
      </c>
      <c r="DD31" s="11"/>
      <c r="DF31" s="90"/>
      <c r="DG31" s="90"/>
      <c r="DH31" s="90"/>
      <c r="DI31" s="90"/>
    </row>
    <row r="32" spans="1:121" ht="13.8" thickBot="1" x14ac:dyDescent="0.3">
      <c r="A32" s="17"/>
      <c r="B32" s="17"/>
      <c r="C32" s="17"/>
      <c r="G32" s="119"/>
      <c r="H32" s="123" t="s">
        <v>100</v>
      </c>
      <c r="X32" s="12"/>
      <c r="Z32" s="53"/>
      <c r="AC32" s="48"/>
      <c r="AD32" s="48"/>
      <c r="AE32" s="48"/>
      <c r="AF32" s="48"/>
      <c r="DB32" s="40"/>
      <c r="DC32" s="311" t="s">
        <v>392</v>
      </c>
      <c r="DD32" s="5"/>
      <c r="DF32" s="90"/>
      <c r="DG32" s="90"/>
      <c r="DH32" s="90"/>
      <c r="DI32" s="90"/>
    </row>
    <row r="33" spans="1:121" ht="13.8" thickBot="1" x14ac:dyDescent="0.3">
      <c r="A33" s="5"/>
      <c r="B33" s="5"/>
      <c r="C33" s="5"/>
      <c r="G33" s="180"/>
      <c r="H33" s="180"/>
      <c r="X33" s="12"/>
      <c r="Z33" s="47"/>
      <c r="AC33" s="57"/>
      <c r="AD33" s="57"/>
      <c r="AE33" s="57"/>
      <c r="AF33" s="57"/>
      <c r="CU33" s="316"/>
      <c r="DB33" s="40"/>
      <c r="DC33" s="311" t="s">
        <v>393</v>
      </c>
      <c r="DD33" s="5"/>
    </row>
    <row r="34" spans="1:121" ht="13.8" thickBot="1" x14ac:dyDescent="0.3">
      <c r="A34" s="14"/>
      <c r="B34" s="14"/>
      <c r="C34" s="14"/>
      <c r="G34" s="415" t="s">
        <v>135</v>
      </c>
      <c r="H34" s="416"/>
      <c r="X34" s="12"/>
      <c r="Z34" s="53"/>
      <c r="AC34" s="48"/>
      <c r="AD34" s="48"/>
      <c r="AE34" s="48"/>
      <c r="AF34" s="48"/>
      <c r="CS34" s="316"/>
      <c r="DB34" s="39"/>
      <c r="DC34" s="311" t="s">
        <v>394</v>
      </c>
      <c r="DD34" s="5"/>
    </row>
    <row r="35" spans="1:121" ht="13.8" thickBot="1" x14ac:dyDescent="0.3">
      <c r="A35" s="17"/>
      <c r="B35" s="17"/>
      <c r="C35" s="17"/>
      <c r="G35" s="29">
        <v>1</v>
      </c>
      <c r="H35" s="42"/>
      <c r="X35" s="12"/>
      <c r="Z35" s="47"/>
      <c r="AC35" s="57"/>
      <c r="AD35" s="57"/>
      <c r="AE35" s="57"/>
      <c r="AF35" s="57"/>
      <c r="DB35" s="310"/>
      <c r="DC35" s="56" t="s">
        <v>379</v>
      </c>
      <c r="DD35" s="11"/>
    </row>
    <row r="36" spans="1:121" ht="13.8" thickBot="1" x14ac:dyDescent="0.3">
      <c r="A36" s="17"/>
      <c r="B36" s="17"/>
      <c r="C36" s="17"/>
      <c r="G36" s="38"/>
      <c r="H36" s="46" t="s">
        <v>62</v>
      </c>
      <c r="X36" s="12"/>
      <c r="Z36" s="53"/>
      <c r="AC36" s="48"/>
      <c r="AD36" s="48"/>
      <c r="AE36" s="48"/>
      <c r="AF36" s="48"/>
      <c r="DB36" s="13"/>
      <c r="DC36" s="313" t="s">
        <v>145</v>
      </c>
    </row>
    <row r="37" spans="1:121" x14ac:dyDescent="0.25">
      <c r="A37" s="16"/>
      <c r="B37" s="16"/>
      <c r="C37" s="16"/>
      <c r="G37" s="38"/>
      <c r="H37" s="46" t="s">
        <v>141</v>
      </c>
      <c r="X37" s="12"/>
      <c r="Z37" s="47"/>
      <c r="AC37" s="57"/>
      <c r="AD37" s="57"/>
      <c r="AE37" s="57"/>
      <c r="AF37" s="57"/>
    </row>
    <row r="38" spans="1:121" x14ac:dyDescent="0.25">
      <c r="A38" s="19"/>
      <c r="B38" s="19"/>
      <c r="C38" s="19"/>
      <c r="G38" s="39"/>
      <c r="H38" s="47" t="s">
        <v>142</v>
      </c>
      <c r="X38" s="12"/>
      <c r="Z38" s="53"/>
      <c r="AC38" s="48"/>
      <c r="AD38" s="48"/>
      <c r="AE38" s="48"/>
      <c r="AF38" s="48"/>
    </row>
    <row r="39" spans="1:121" ht="13.8" thickBot="1" x14ac:dyDescent="0.3">
      <c r="A39" s="17"/>
      <c r="B39" s="17"/>
      <c r="C39" s="17"/>
      <c r="G39" s="49"/>
      <c r="H39" s="47" t="s">
        <v>143</v>
      </c>
      <c r="I39" s="7"/>
      <c r="X39" s="12"/>
      <c r="Z39" s="47"/>
      <c r="AC39" s="57"/>
      <c r="AD39" s="57"/>
      <c r="AE39" s="57"/>
      <c r="AF39" s="57"/>
    </row>
    <row r="40" spans="1:121" x14ac:dyDescent="0.25">
      <c r="A40" s="17"/>
      <c r="B40" s="17"/>
      <c r="C40" s="17"/>
      <c r="G40" s="28"/>
      <c r="H40" s="28"/>
      <c r="I40" s="7"/>
      <c r="X40" s="12"/>
      <c r="Z40" s="54"/>
      <c r="AC40" s="48"/>
      <c r="AD40" s="48"/>
      <c r="AE40" s="48"/>
      <c r="AF40" s="48"/>
    </row>
    <row r="41" spans="1:121" ht="13.8" thickBot="1" x14ac:dyDescent="0.3">
      <c r="A41" s="52"/>
      <c r="B41" s="17"/>
      <c r="C41" s="17"/>
      <c r="X41" s="12"/>
      <c r="AA41" s="11"/>
      <c r="AC41" s="58"/>
      <c r="AD41" s="58"/>
      <c r="AE41" s="58"/>
      <c r="AF41" s="58"/>
      <c r="AG41" s="5"/>
    </row>
    <row r="42" spans="1:121" ht="13.8" thickBot="1" x14ac:dyDescent="0.3">
      <c r="A42" s="17"/>
      <c r="B42" s="17"/>
      <c r="C42" s="17"/>
      <c r="G42" s="415" t="s">
        <v>135</v>
      </c>
      <c r="H42" s="416"/>
      <c r="Y42" s="18"/>
      <c r="Z42" s="18"/>
    </row>
    <row r="43" spans="1:121" ht="13.8" thickBot="1" x14ac:dyDescent="0.3">
      <c r="A43" s="17"/>
      <c r="B43" s="17"/>
      <c r="C43" s="17"/>
      <c r="G43" s="29">
        <v>1</v>
      </c>
      <c r="H43" s="42"/>
      <c r="AQ43" s="20"/>
      <c r="AR43" s="20"/>
    </row>
    <row r="44" spans="1:121" x14ac:dyDescent="0.25">
      <c r="A44" s="17"/>
      <c r="B44" s="17"/>
      <c r="C44" s="17"/>
      <c r="G44" s="38"/>
      <c r="H44" s="46" t="s">
        <v>144</v>
      </c>
      <c r="BR44" s="20"/>
      <c r="BS44" s="20"/>
      <c r="CS44" s="20"/>
      <c r="CT44" s="20"/>
    </row>
    <row r="45" spans="1:121" ht="13.8" thickBot="1" x14ac:dyDescent="0.3">
      <c r="A45" s="5"/>
      <c r="B45" s="5"/>
      <c r="C45" s="5"/>
      <c r="G45" s="44"/>
      <c r="H45" s="50" t="s">
        <v>145</v>
      </c>
    </row>
    <row r="46" spans="1:121" x14ac:dyDescent="0.25">
      <c r="A46" s="15"/>
      <c r="B46" s="15"/>
      <c r="C46" s="15"/>
      <c r="G46" s="43"/>
      <c r="H46" s="48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2"/>
      <c r="V46" s="22"/>
      <c r="W46" s="22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3"/>
      <c r="AI46" s="20"/>
      <c r="AJ46" s="20"/>
      <c r="AK46" s="20"/>
      <c r="AL46" s="20"/>
      <c r="AN46" s="20"/>
      <c r="AO46" s="20"/>
      <c r="AS46" s="20"/>
      <c r="AV46" s="20"/>
      <c r="AZ46" s="20"/>
      <c r="BA46" s="20"/>
      <c r="BB46" s="20"/>
      <c r="BE46" s="20"/>
      <c r="BI46" s="20"/>
      <c r="BJ46" s="20"/>
      <c r="CA46" s="20"/>
      <c r="CB46" s="20"/>
      <c r="CC46" s="20"/>
      <c r="CF46" s="20"/>
      <c r="CJ46" s="20"/>
      <c r="CK46" s="20"/>
    </row>
    <row r="47" spans="1:121" x14ac:dyDescent="0.25">
      <c r="A47" s="24"/>
      <c r="B47" s="24"/>
      <c r="C47" s="24"/>
      <c r="D47" s="23"/>
      <c r="E47" s="25"/>
      <c r="F47" s="23"/>
      <c r="G47" s="7"/>
      <c r="H47" s="48"/>
      <c r="AM47" s="20"/>
      <c r="AP47" s="20"/>
      <c r="AW47" s="20"/>
      <c r="AX47" s="20"/>
      <c r="AY47" s="20"/>
      <c r="BC47" s="20"/>
      <c r="BD47" s="20"/>
      <c r="BF47" s="20"/>
      <c r="BG47" s="20"/>
      <c r="BH47" s="20"/>
      <c r="BK47" s="20"/>
      <c r="BL47" s="20"/>
      <c r="BM47" s="20"/>
      <c r="BN47" s="20"/>
      <c r="BO47" s="20"/>
      <c r="BP47" s="20"/>
      <c r="BQ47" s="20"/>
      <c r="BT47" s="20"/>
      <c r="BU47" s="20"/>
      <c r="BV47" s="20"/>
      <c r="BW47" s="20"/>
      <c r="BX47" s="20"/>
      <c r="BY47" s="20"/>
      <c r="BZ47" s="20"/>
      <c r="CD47" s="20"/>
      <c r="CE47" s="20"/>
      <c r="CG47" s="20"/>
      <c r="CH47" s="20"/>
      <c r="CI47" s="20"/>
      <c r="CL47" s="20"/>
      <c r="CM47" s="20"/>
      <c r="CN47" s="20"/>
      <c r="CO47" s="20"/>
      <c r="CP47" s="20"/>
      <c r="CQ47" s="20"/>
      <c r="CR47" s="20"/>
      <c r="CU47" s="20"/>
      <c r="CV47" s="20"/>
      <c r="CW47" s="20"/>
      <c r="CX47" s="20"/>
      <c r="CY47" s="20"/>
      <c r="CZ47" s="20"/>
      <c r="DA47" s="20"/>
      <c r="DF47" s="20"/>
      <c r="DG47" s="20"/>
      <c r="DH47" s="20"/>
      <c r="DI47" s="20"/>
      <c r="DJ47" s="20"/>
      <c r="DK47" s="20"/>
      <c r="DL47" s="20"/>
      <c r="DM47" s="20"/>
      <c r="DN47" s="20"/>
      <c r="DO47" s="20"/>
      <c r="DP47" s="20"/>
      <c r="DQ47" s="20"/>
    </row>
    <row r="48" spans="1:121" x14ac:dyDescent="0.25">
      <c r="A48" s="5"/>
      <c r="B48" s="5"/>
      <c r="C48" s="5"/>
      <c r="G48" s="7"/>
      <c r="AT48" s="20"/>
      <c r="AU48" s="20"/>
      <c r="DD48" s="20"/>
    </row>
    <row r="49" spans="1:121" x14ac:dyDescent="0.25">
      <c r="A49" s="5"/>
      <c r="B49" s="5"/>
      <c r="C49" s="5"/>
      <c r="DE49" s="20"/>
    </row>
    <row r="50" spans="1:121" x14ac:dyDescent="0.25">
      <c r="A50" s="5"/>
      <c r="B50" s="5"/>
      <c r="C50" s="5"/>
      <c r="DB50" s="20"/>
      <c r="DC50" s="20"/>
    </row>
    <row r="51" spans="1:121" x14ac:dyDescent="0.25">
      <c r="A51" s="5"/>
      <c r="B51" s="5"/>
      <c r="C51" s="5"/>
    </row>
    <row r="52" spans="1:121" x14ac:dyDescent="0.25">
      <c r="A52" s="5"/>
      <c r="B52" s="5"/>
      <c r="C52" s="5"/>
    </row>
    <row r="54" spans="1:121" x14ac:dyDescent="0.25">
      <c r="G54" s="21"/>
      <c r="H54" s="21"/>
    </row>
    <row r="56" spans="1:121" x14ac:dyDescent="0.25">
      <c r="H56" s="9"/>
    </row>
    <row r="57" spans="1:121" x14ac:dyDescent="0.25">
      <c r="H57" s="8"/>
      <c r="BR57" s="2"/>
      <c r="BS57" s="2"/>
      <c r="CS57" s="2"/>
      <c r="CT57" s="2"/>
    </row>
    <row r="58" spans="1:121" x14ac:dyDescent="0.25">
      <c r="H58" s="9"/>
      <c r="BR58" s="2"/>
      <c r="BS58" s="2"/>
      <c r="CS58" s="2"/>
      <c r="CT58" s="2"/>
    </row>
    <row r="59" spans="1:121" x14ac:dyDescent="0.25">
      <c r="A59" s="16"/>
      <c r="B59" s="16"/>
      <c r="C59" s="16"/>
      <c r="E59" s="2"/>
      <c r="H59" s="9"/>
      <c r="I59" s="9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X59" s="2"/>
      <c r="Y59" s="2"/>
      <c r="Z59" s="2"/>
      <c r="AA59" s="2"/>
      <c r="AB59" s="2"/>
      <c r="AC59" s="2"/>
      <c r="AD59" s="2"/>
      <c r="AE59" s="2"/>
      <c r="AF59" s="2"/>
      <c r="AG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U59" s="2"/>
      <c r="CV59" s="2"/>
      <c r="CW59" s="2"/>
      <c r="CX59" s="2"/>
      <c r="CY59" s="2"/>
      <c r="CZ59" s="2"/>
      <c r="DA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</row>
    <row r="60" spans="1:121" x14ac:dyDescent="0.25">
      <c r="A60" s="5"/>
      <c r="B60" s="5"/>
      <c r="C60" s="5"/>
      <c r="H60" s="9"/>
      <c r="I60" s="7"/>
      <c r="AT60" s="2"/>
      <c r="AU60" s="2"/>
      <c r="AW60" s="2"/>
      <c r="AX60" s="2"/>
      <c r="BC60" s="2"/>
      <c r="BD60" s="2"/>
      <c r="BF60" s="2"/>
      <c r="BG60" s="2"/>
      <c r="BL60" s="2"/>
      <c r="BM60" s="2"/>
      <c r="BN60" s="2"/>
      <c r="BO60" s="2"/>
      <c r="BP60" s="2"/>
      <c r="BU60" s="2"/>
      <c r="BV60" s="2"/>
      <c r="BW60" s="2"/>
      <c r="BX60" s="2"/>
      <c r="BY60" s="2"/>
      <c r="BZ60" s="2"/>
      <c r="CD60" s="2"/>
      <c r="CE60" s="2"/>
      <c r="CG60" s="2"/>
      <c r="CH60" s="2"/>
      <c r="CM60" s="2"/>
      <c r="CN60" s="2"/>
      <c r="CO60" s="2"/>
      <c r="CP60" s="2"/>
      <c r="CQ60" s="2"/>
      <c r="CV60" s="2"/>
      <c r="CW60" s="2"/>
      <c r="CX60" s="2"/>
      <c r="CY60" s="2"/>
      <c r="CZ60" s="2"/>
      <c r="DF60" s="2"/>
    </row>
    <row r="61" spans="1:121" x14ac:dyDescent="0.25">
      <c r="A61" s="27"/>
      <c r="B61" s="27"/>
      <c r="C61" s="27"/>
      <c r="I61" s="7"/>
      <c r="AT61" s="2"/>
      <c r="AU61" s="2"/>
      <c r="DD61" s="2"/>
      <c r="DE61" s="2"/>
    </row>
    <row r="62" spans="1:121" x14ac:dyDescent="0.25">
      <c r="A62" s="5"/>
      <c r="B62" s="5"/>
      <c r="C62" s="5"/>
      <c r="DB62" s="2"/>
      <c r="DC62" s="2"/>
      <c r="DE62" s="2"/>
    </row>
    <row r="63" spans="1:121" x14ac:dyDescent="0.25">
      <c r="A63" s="5"/>
      <c r="B63" s="55"/>
      <c r="C63" s="5"/>
    </row>
    <row r="64" spans="1:121" x14ac:dyDescent="0.25">
      <c r="A64" s="5"/>
      <c r="B64" s="5"/>
      <c r="C64" s="5"/>
    </row>
    <row r="65" spans="1:8" x14ac:dyDescent="0.25">
      <c r="A65" s="5"/>
      <c r="B65" s="5"/>
      <c r="C65" s="5"/>
    </row>
    <row r="66" spans="1:8" x14ac:dyDescent="0.25">
      <c r="A66" s="11"/>
      <c r="B66" s="5"/>
      <c r="C66" s="5"/>
      <c r="G66" s="6"/>
      <c r="H66" s="6"/>
    </row>
    <row r="67" spans="1:8" x14ac:dyDescent="0.25">
      <c r="A67" s="11"/>
      <c r="B67" s="5"/>
      <c r="C67" s="5"/>
      <c r="G67" s="6"/>
      <c r="H67" s="6"/>
    </row>
    <row r="68" spans="1:8" x14ac:dyDescent="0.25">
      <c r="A68" s="11"/>
      <c r="B68" s="5"/>
      <c r="C68" s="5"/>
    </row>
    <row r="69" spans="1:8" x14ac:dyDescent="0.25">
      <c r="A69" s="11"/>
      <c r="B69" s="5"/>
      <c r="C69" s="5"/>
    </row>
    <row r="70" spans="1:8" x14ac:dyDescent="0.25">
      <c r="A70" s="11"/>
      <c r="B70" s="5"/>
      <c r="C70" s="5"/>
    </row>
    <row r="71" spans="1:8" x14ac:dyDescent="0.25">
      <c r="A71" s="11"/>
      <c r="B71" s="5"/>
      <c r="C71" s="5"/>
    </row>
    <row r="72" spans="1:8" x14ac:dyDescent="0.25">
      <c r="A72" s="11"/>
      <c r="B72" s="5"/>
      <c r="C72" s="5"/>
    </row>
    <row r="73" spans="1:8" x14ac:dyDescent="0.25">
      <c r="A73" s="5"/>
      <c r="B73" s="5"/>
      <c r="C73" s="5"/>
    </row>
    <row r="74" spans="1:8" x14ac:dyDescent="0.25">
      <c r="A74" s="5"/>
      <c r="B74" s="5"/>
      <c r="C74" s="5"/>
    </row>
  </sheetData>
  <mergeCells count="46">
    <mergeCell ref="G42:H42"/>
    <mergeCell ref="G34:H34"/>
    <mergeCell ref="G28:H28"/>
    <mergeCell ref="G22:H22"/>
    <mergeCell ref="CM7:CN7"/>
    <mergeCell ref="AZ7:BA7"/>
    <mergeCell ref="V7:W7"/>
    <mergeCell ref="CA7:CB7"/>
    <mergeCell ref="BR7:BS7"/>
    <mergeCell ref="J22:K22"/>
    <mergeCell ref="J15:K15"/>
    <mergeCell ref="P22:Q22"/>
    <mergeCell ref="P7:Q7"/>
    <mergeCell ref="AE7:AF7"/>
    <mergeCell ref="G7:H7"/>
    <mergeCell ref="B2:C3"/>
    <mergeCell ref="AW7:AX7"/>
    <mergeCell ref="BC7:BD7"/>
    <mergeCell ref="AQ7:AR7"/>
    <mergeCell ref="DJ7:DK7"/>
    <mergeCell ref="M7:N7"/>
    <mergeCell ref="DE7:DF7"/>
    <mergeCell ref="AN7:AO7"/>
    <mergeCell ref="CY7:CZ7"/>
    <mergeCell ref="CV7:CW7"/>
    <mergeCell ref="CD7:CE7"/>
    <mergeCell ref="BO7:BP7"/>
    <mergeCell ref="BU7:BV7"/>
    <mergeCell ref="BI7:BJ7"/>
    <mergeCell ref="BL7:BM7"/>
    <mergeCell ref="CG7:CH7"/>
    <mergeCell ref="DB28:DC28"/>
    <mergeCell ref="S7:T7"/>
    <mergeCell ref="AB7:AC7"/>
    <mergeCell ref="Y7:Z7"/>
    <mergeCell ref="AH7:AI7"/>
    <mergeCell ref="AK7:AL7"/>
    <mergeCell ref="AT7:AU7"/>
    <mergeCell ref="BX7:BY7"/>
    <mergeCell ref="DB14:DC14"/>
    <mergeCell ref="DB21:DC21"/>
    <mergeCell ref="BF7:BG7"/>
    <mergeCell ref="DB7:DC7"/>
    <mergeCell ref="CJ7:CK7"/>
    <mergeCell ref="CS7:CT7"/>
    <mergeCell ref="CP7:CQ7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1"/>
  <dimension ref="B2:B3"/>
  <sheetViews>
    <sheetView workbookViewId="0">
      <selection activeCell="D33" sqref="D33"/>
    </sheetView>
  </sheetViews>
  <sheetFormatPr defaultRowHeight="13.2" x14ac:dyDescent="0.25"/>
  <sheetData>
    <row r="2" spans="2:2" x14ac:dyDescent="0.25">
      <c r="B2" t="s">
        <v>99</v>
      </c>
    </row>
    <row r="3" spans="2:2" x14ac:dyDescent="0.25">
      <c r="B3" t="s">
        <v>100</v>
      </c>
    </row>
  </sheetData>
  <sheetProtection password="FF2B" sheet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2"/>
  <dimension ref="A1:W100"/>
  <sheetViews>
    <sheetView zoomScaleNormal="100" workbookViewId="0">
      <pane ySplit="1" topLeftCell="A2" activePane="bottomLeft" state="frozen"/>
      <selection activeCell="H1" sqref="H1"/>
      <selection pane="bottomLeft" activeCell="I79" sqref="I79"/>
    </sheetView>
  </sheetViews>
  <sheetFormatPr defaultRowHeight="13.2" x14ac:dyDescent="0.25"/>
  <cols>
    <col min="5" max="5" width="12.33203125" customWidth="1"/>
    <col min="6" max="6" width="4" style="186" customWidth="1"/>
    <col min="7" max="7" width="12.33203125" style="186" customWidth="1"/>
    <col min="8" max="8" width="53.109375" customWidth="1"/>
    <col min="9" max="9" width="33.88671875" style="189" customWidth="1"/>
    <col min="10" max="10" width="52.109375" style="211" customWidth="1"/>
    <col min="11" max="11" width="11.44140625" customWidth="1"/>
    <col min="12" max="12" width="63.6640625" style="213" customWidth="1"/>
    <col min="13" max="13" width="28" customWidth="1"/>
    <col min="14" max="14" width="25.88671875" customWidth="1"/>
    <col min="15" max="15" width="27.33203125" customWidth="1"/>
    <col min="16" max="16" width="23.44140625" customWidth="1"/>
    <col min="17" max="17" width="27.44140625" customWidth="1"/>
    <col min="18" max="18" width="38" bestFit="1" customWidth="1"/>
    <col min="19" max="22" width="23.109375" customWidth="1"/>
    <col min="23" max="23" width="16.6640625" customWidth="1"/>
  </cols>
  <sheetData>
    <row r="1" spans="1:23" s="192" customFormat="1" ht="18" x14ac:dyDescent="0.35">
      <c r="A1" s="192" t="s">
        <v>191</v>
      </c>
      <c r="D1" s="192" t="s">
        <v>192</v>
      </c>
      <c r="E1" s="193" t="s">
        <v>193</v>
      </c>
      <c r="F1" s="193"/>
      <c r="G1" s="193" t="s">
        <v>194</v>
      </c>
      <c r="H1" s="194" t="s">
        <v>195</v>
      </c>
      <c r="I1" s="195" t="s">
        <v>196</v>
      </c>
      <c r="J1" s="209" t="s">
        <v>238</v>
      </c>
      <c r="K1" s="194" t="s">
        <v>239</v>
      </c>
      <c r="L1" s="217" t="s">
        <v>197</v>
      </c>
      <c r="M1" s="195" t="s">
        <v>198</v>
      </c>
      <c r="N1" s="195" t="s">
        <v>199</v>
      </c>
      <c r="O1" s="195" t="s">
        <v>200</v>
      </c>
      <c r="P1" s="195" t="s">
        <v>201</v>
      </c>
      <c r="Q1" s="195" t="s">
        <v>251</v>
      </c>
      <c r="R1" s="195" t="s">
        <v>252</v>
      </c>
      <c r="S1" s="195" t="s">
        <v>253</v>
      </c>
      <c r="T1" s="195" t="s">
        <v>254</v>
      </c>
      <c r="U1" s="195" t="s">
        <v>255</v>
      </c>
      <c r="V1" s="195" t="s">
        <v>256</v>
      </c>
      <c r="W1" s="195" t="s">
        <v>319</v>
      </c>
    </row>
    <row r="2" spans="1:23" x14ac:dyDescent="0.25">
      <c r="A2" s="188">
        <v>6</v>
      </c>
      <c r="B2" s="188">
        <v>3</v>
      </c>
      <c r="C2" s="188"/>
      <c r="E2" s="186">
        <v>1</v>
      </c>
      <c r="F2" s="187" t="s">
        <v>202</v>
      </c>
      <c r="G2" s="187">
        <v>40008</v>
      </c>
      <c r="H2" s="197" t="s">
        <v>203</v>
      </c>
      <c r="I2" s="191"/>
      <c r="J2" s="210" t="s">
        <v>401</v>
      </c>
      <c r="M2" s="189"/>
      <c r="N2" s="189"/>
      <c r="O2" s="189"/>
      <c r="P2" s="189"/>
    </row>
    <row r="3" spans="1:23" x14ac:dyDescent="0.25">
      <c r="A3" s="188">
        <v>4</v>
      </c>
      <c r="B3" s="188">
        <v>3</v>
      </c>
      <c r="C3" s="188"/>
      <c r="E3" s="186">
        <v>2</v>
      </c>
      <c r="F3" s="187" t="s">
        <v>202</v>
      </c>
      <c r="G3" s="187">
        <v>40012</v>
      </c>
      <c r="H3" s="197" t="s">
        <v>6</v>
      </c>
      <c r="I3" s="191"/>
      <c r="J3" s="211" t="s">
        <v>401</v>
      </c>
      <c r="M3" s="189"/>
      <c r="N3" s="189"/>
      <c r="O3" s="189"/>
      <c r="P3" s="189"/>
    </row>
    <row r="4" spans="1:23" x14ac:dyDescent="0.25">
      <c r="A4" s="188">
        <v>8</v>
      </c>
      <c r="B4" s="188">
        <v>3</v>
      </c>
      <c r="C4" s="188"/>
      <c r="E4" s="186">
        <v>3</v>
      </c>
      <c r="F4" s="187" t="s">
        <v>202</v>
      </c>
      <c r="G4" s="186">
        <v>10011</v>
      </c>
      <c r="H4" s="198" t="s">
        <v>204</v>
      </c>
      <c r="I4" s="203" t="s">
        <v>205</v>
      </c>
      <c r="J4" s="211" t="s">
        <v>369</v>
      </c>
      <c r="M4" s="189"/>
      <c r="N4" s="189"/>
      <c r="O4" s="189"/>
      <c r="P4" s="189"/>
    </row>
    <row r="5" spans="1:23" x14ac:dyDescent="0.25">
      <c r="A5" s="188">
        <v>3</v>
      </c>
      <c r="B5" s="188">
        <v>3</v>
      </c>
      <c r="C5" s="188"/>
      <c r="E5" s="186">
        <v>4</v>
      </c>
      <c r="F5" s="187" t="s">
        <v>202</v>
      </c>
      <c r="G5" s="186">
        <v>10102</v>
      </c>
      <c r="H5" s="199" t="s">
        <v>44</v>
      </c>
      <c r="J5" s="211" t="s">
        <v>401</v>
      </c>
      <c r="M5" s="189"/>
      <c r="N5" s="189"/>
      <c r="O5" s="189"/>
      <c r="P5" s="189"/>
    </row>
    <row r="6" spans="1:23" x14ac:dyDescent="0.25">
      <c r="A6" s="188">
        <v>49</v>
      </c>
      <c r="B6" s="188">
        <v>6</v>
      </c>
      <c r="C6" s="188"/>
      <c r="E6" s="186">
        <v>5</v>
      </c>
      <c r="F6" s="187" t="s">
        <v>202</v>
      </c>
      <c r="G6" s="186">
        <v>40001</v>
      </c>
      <c r="H6" s="199" t="s">
        <v>13</v>
      </c>
      <c r="J6" s="211" t="s">
        <v>403</v>
      </c>
      <c r="M6" s="189"/>
      <c r="N6" s="189"/>
      <c r="O6" s="189"/>
      <c r="P6" s="189"/>
    </row>
    <row r="7" spans="1:23" x14ac:dyDescent="0.25">
      <c r="A7" s="188">
        <v>53</v>
      </c>
      <c r="B7" s="188">
        <v>5</v>
      </c>
      <c r="C7" s="188"/>
      <c r="E7" s="186">
        <v>6</v>
      </c>
      <c r="F7" s="187" t="s">
        <v>202</v>
      </c>
      <c r="G7" s="186">
        <v>40002</v>
      </c>
      <c r="H7" s="199" t="s">
        <v>65</v>
      </c>
      <c r="J7" s="211" t="s">
        <v>404</v>
      </c>
      <c r="M7" s="189"/>
      <c r="N7" s="189"/>
      <c r="O7" s="189"/>
      <c r="P7" s="189"/>
    </row>
    <row r="8" spans="1:23" x14ac:dyDescent="0.25">
      <c r="A8">
        <v>59</v>
      </c>
      <c r="B8" s="188">
        <v>3</v>
      </c>
      <c r="E8" s="186">
        <v>7</v>
      </c>
      <c r="F8" s="187" t="s">
        <v>202</v>
      </c>
      <c r="G8" s="186">
        <v>40003</v>
      </c>
      <c r="H8" s="199" t="s">
        <v>170</v>
      </c>
      <c r="J8" s="211" t="s">
        <v>31</v>
      </c>
      <c r="M8" s="189"/>
      <c r="N8" s="189"/>
      <c r="O8" s="189"/>
      <c r="P8" s="189"/>
    </row>
    <row r="9" spans="1:23" x14ac:dyDescent="0.25">
      <c r="A9">
        <v>58</v>
      </c>
      <c r="B9" s="188">
        <v>5</v>
      </c>
      <c r="E9" s="186">
        <v>8</v>
      </c>
      <c r="F9" s="187" t="s">
        <v>202</v>
      </c>
      <c r="G9" s="186">
        <v>40004</v>
      </c>
      <c r="H9" s="199" t="s">
        <v>22</v>
      </c>
      <c r="J9" s="211" t="s">
        <v>400</v>
      </c>
      <c r="M9" s="189"/>
      <c r="N9" s="189"/>
      <c r="O9" s="189"/>
      <c r="P9" s="189"/>
    </row>
    <row r="10" spans="1:23" x14ac:dyDescent="0.25">
      <c r="A10">
        <v>49</v>
      </c>
      <c r="B10" s="188">
        <v>4</v>
      </c>
      <c r="E10" s="186">
        <v>9</v>
      </c>
      <c r="F10" s="187" t="s">
        <v>202</v>
      </c>
      <c r="G10" s="186">
        <v>40007</v>
      </c>
      <c r="H10" s="197" t="s">
        <v>12</v>
      </c>
      <c r="J10" s="208" t="s">
        <v>310</v>
      </c>
      <c r="L10" s="215"/>
      <c r="M10" s="189"/>
      <c r="N10" s="189"/>
      <c r="O10" s="189"/>
      <c r="P10" s="189"/>
    </row>
    <row r="11" spans="1:23" x14ac:dyDescent="0.25">
      <c r="A11" s="201"/>
      <c r="E11" s="190">
        <v>10</v>
      </c>
      <c r="F11" s="190"/>
      <c r="G11" s="186">
        <v>40009</v>
      </c>
      <c r="H11" s="199" t="s">
        <v>206</v>
      </c>
      <c r="I11" s="191"/>
      <c r="J11" s="212"/>
      <c r="M11" s="189"/>
      <c r="N11" s="189"/>
      <c r="O11" s="189"/>
      <c r="P11" s="189"/>
    </row>
    <row r="12" spans="1:23" x14ac:dyDescent="0.25">
      <c r="A12" s="201"/>
      <c r="E12" s="190">
        <v>11</v>
      </c>
      <c r="F12" s="190"/>
      <c r="G12" s="186">
        <v>40009</v>
      </c>
      <c r="H12" s="199" t="s">
        <v>207</v>
      </c>
      <c r="I12" s="191"/>
      <c r="J12" s="212"/>
      <c r="M12" s="189"/>
      <c r="N12" s="189"/>
      <c r="O12" s="189"/>
      <c r="P12" s="189"/>
    </row>
    <row r="13" spans="1:23" ht="26.4" x14ac:dyDescent="0.25">
      <c r="A13">
        <v>51</v>
      </c>
      <c r="B13">
        <v>5</v>
      </c>
      <c r="E13" s="186">
        <v>12</v>
      </c>
      <c r="F13" s="187" t="s">
        <v>202</v>
      </c>
      <c r="G13" s="186">
        <v>40011</v>
      </c>
      <c r="H13" s="216" t="s">
        <v>23</v>
      </c>
      <c r="J13" s="211" t="s">
        <v>277</v>
      </c>
      <c r="M13" s="189"/>
      <c r="N13" s="189"/>
      <c r="O13" s="189"/>
      <c r="P13" s="189"/>
    </row>
    <row r="14" spans="1:23" x14ac:dyDescent="0.25">
      <c r="A14">
        <v>19</v>
      </c>
      <c r="B14">
        <v>4</v>
      </c>
      <c r="C14">
        <v>20</v>
      </c>
      <c r="D14">
        <v>6</v>
      </c>
      <c r="E14" s="186">
        <v>13</v>
      </c>
      <c r="F14" s="187" t="s">
        <v>202</v>
      </c>
      <c r="G14" s="186">
        <v>59958</v>
      </c>
      <c r="H14" s="199" t="s">
        <v>120</v>
      </c>
      <c r="J14" s="211" t="s">
        <v>100</v>
      </c>
      <c r="K14" s="189" t="s">
        <v>99</v>
      </c>
      <c r="M14" s="189"/>
      <c r="N14" s="189"/>
      <c r="O14" s="189"/>
      <c r="P14" s="189"/>
    </row>
    <row r="15" spans="1:23" x14ac:dyDescent="0.25">
      <c r="A15">
        <v>19</v>
      </c>
      <c r="B15">
        <v>6</v>
      </c>
      <c r="E15" s="186">
        <v>14</v>
      </c>
      <c r="F15" s="187" t="s">
        <v>202</v>
      </c>
      <c r="G15" s="186">
        <v>59995</v>
      </c>
      <c r="H15" s="199" t="s">
        <v>121</v>
      </c>
      <c r="J15" s="211" t="s">
        <v>100</v>
      </c>
      <c r="M15" s="189"/>
      <c r="N15" s="189"/>
      <c r="O15" s="189"/>
      <c r="P15" s="189"/>
    </row>
    <row r="16" spans="1:23" x14ac:dyDescent="0.25">
      <c r="A16">
        <v>9</v>
      </c>
      <c r="B16">
        <v>3</v>
      </c>
      <c r="E16" s="186">
        <v>15</v>
      </c>
      <c r="F16" s="187" t="s">
        <v>202</v>
      </c>
      <c r="H16" s="199" t="s">
        <v>137</v>
      </c>
      <c r="J16" s="211" t="s">
        <v>25</v>
      </c>
      <c r="M16" s="189"/>
      <c r="N16" s="189"/>
      <c r="O16" s="189"/>
      <c r="P16" s="189"/>
    </row>
    <row r="17" spans="1:16" x14ac:dyDescent="0.25">
      <c r="A17">
        <v>30</v>
      </c>
      <c r="B17">
        <v>4</v>
      </c>
      <c r="E17" s="186">
        <v>16</v>
      </c>
      <c r="F17" s="187" t="s">
        <v>202</v>
      </c>
      <c r="H17" s="199" t="s">
        <v>175</v>
      </c>
      <c r="J17" s="211">
        <v>-30</v>
      </c>
      <c r="M17" s="189"/>
      <c r="N17" s="189"/>
      <c r="O17" s="189"/>
      <c r="P17" s="189"/>
    </row>
    <row r="18" spans="1:16" ht="39.6" x14ac:dyDescent="0.25">
      <c r="A18" s="201">
        <v>57</v>
      </c>
      <c r="B18">
        <v>3</v>
      </c>
      <c r="E18" s="186">
        <v>17</v>
      </c>
      <c r="F18" s="187" t="s">
        <v>202</v>
      </c>
      <c r="G18" s="187">
        <v>59992</v>
      </c>
      <c r="H18" s="199" t="s">
        <v>16</v>
      </c>
      <c r="I18" s="204" t="s">
        <v>281</v>
      </c>
      <c r="J18" s="211" t="s">
        <v>157</v>
      </c>
      <c r="M18" s="189"/>
      <c r="N18" s="189"/>
      <c r="O18" s="189"/>
      <c r="P18" s="189"/>
    </row>
    <row r="19" spans="1:16" x14ac:dyDescent="0.25">
      <c r="A19" s="201">
        <v>56</v>
      </c>
      <c r="B19">
        <v>6</v>
      </c>
      <c r="E19" s="186">
        <v>18</v>
      </c>
      <c r="F19" s="187" t="s">
        <v>202</v>
      </c>
      <c r="G19" s="187">
        <v>59991</v>
      </c>
      <c r="H19" s="199" t="s">
        <v>15</v>
      </c>
      <c r="J19" s="211" t="s">
        <v>390</v>
      </c>
      <c r="M19" s="189"/>
      <c r="N19" s="189"/>
      <c r="O19" s="189"/>
      <c r="P19" s="189"/>
    </row>
    <row r="20" spans="1:16" x14ac:dyDescent="0.25">
      <c r="A20" s="201">
        <v>56</v>
      </c>
      <c r="B20">
        <v>4</v>
      </c>
      <c r="E20" s="186">
        <v>19</v>
      </c>
      <c r="F20" s="187" t="s">
        <v>202</v>
      </c>
      <c r="G20" s="186">
        <v>59988</v>
      </c>
      <c r="H20" s="199" t="s">
        <v>177</v>
      </c>
      <c r="J20" s="211" t="s">
        <v>344</v>
      </c>
      <c r="M20" s="189"/>
      <c r="N20" s="189"/>
      <c r="O20" s="189"/>
      <c r="P20" s="189"/>
    </row>
    <row r="21" spans="1:16" x14ac:dyDescent="0.25">
      <c r="A21" s="201">
        <v>60</v>
      </c>
      <c r="B21">
        <v>3</v>
      </c>
      <c r="E21" s="186">
        <v>20</v>
      </c>
      <c r="F21" s="187" t="s">
        <v>202</v>
      </c>
      <c r="G21" s="186">
        <v>59985</v>
      </c>
      <c r="H21" s="199" t="s">
        <v>17</v>
      </c>
      <c r="J21" s="211" t="s">
        <v>33</v>
      </c>
      <c r="M21" s="189"/>
      <c r="N21" s="189"/>
      <c r="O21" s="189"/>
      <c r="P21" s="189"/>
    </row>
    <row r="22" spans="1:16" x14ac:dyDescent="0.25">
      <c r="A22" s="201"/>
      <c r="E22" s="190">
        <v>21</v>
      </c>
      <c r="F22" s="190"/>
      <c r="G22" s="186">
        <v>59986</v>
      </c>
      <c r="H22" s="199" t="s">
        <v>208</v>
      </c>
      <c r="I22" s="191"/>
      <c r="J22" s="212"/>
      <c r="M22" s="191" t="s">
        <v>209</v>
      </c>
      <c r="N22" s="191" t="s">
        <v>209</v>
      </c>
      <c r="O22" s="191" t="s">
        <v>210</v>
      </c>
      <c r="P22" s="191" t="s">
        <v>161</v>
      </c>
    </row>
    <row r="23" spans="1:16" x14ac:dyDescent="0.25">
      <c r="A23" s="201"/>
      <c r="E23" s="190">
        <v>22</v>
      </c>
      <c r="F23" s="190"/>
      <c r="G23" s="186">
        <v>59984</v>
      </c>
      <c r="H23" s="199" t="s">
        <v>211</v>
      </c>
      <c r="I23" s="191"/>
      <c r="J23" s="212"/>
      <c r="M23" s="191" t="s">
        <v>212</v>
      </c>
      <c r="N23" s="189"/>
      <c r="O23" s="189"/>
      <c r="P23" s="189"/>
    </row>
    <row r="24" spans="1:16" x14ac:dyDescent="0.25">
      <c r="A24" s="201"/>
      <c r="E24" s="190">
        <v>23</v>
      </c>
      <c r="F24" s="190"/>
      <c r="G24" s="186">
        <v>59983</v>
      </c>
      <c r="H24" s="199" t="s">
        <v>213</v>
      </c>
      <c r="I24" s="191"/>
      <c r="J24" s="212"/>
      <c r="M24" s="191" t="s">
        <v>214</v>
      </c>
      <c r="N24" s="191" t="s">
        <v>214</v>
      </c>
      <c r="O24" s="191" t="s">
        <v>215</v>
      </c>
      <c r="P24" s="189"/>
    </row>
    <row r="25" spans="1:16" x14ac:dyDescent="0.25">
      <c r="A25" s="201"/>
      <c r="E25" s="190">
        <v>24</v>
      </c>
      <c r="F25" s="190"/>
      <c r="G25" s="186">
        <v>59982</v>
      </c>
      <c r="H25" s="199" t="s">
        <v>216</v>
      </c>
      <c r="I25" s="191"/>
      <c r="J25" s="212"/>
      <c r="M25" s="191" t="s">
        <v>217</v>
      </c>
      <c r="N25" s="191" t="s">
        <v>217</v>
      </c>
      <c r="O25" s="191" t="s">
        <v>218</v>
      </c>
      <c r="P25" s="189"/>
    </row>
    <row r="26" spans="1:16" ht="26.4" x14ac:dyDescent="0.25">
      <c r="A26" s="201"/>
      <c r="E26" s="190">
        <v>25</v>
      </c>
      <c r="F26" s="190"/>
      <c r="G26" s="186">
        <v>59981</v>
      </c>
      <c r="H26" s="199" t="s">
        <v>219</v>
      </c>
      <c r="I26" s="191"/>
      <c r="J26" s="212"/>
      <c r="M26" s="191" t="s">
        <v>220</v>
      </c>
      <c r="N26" s="191"/>
      <c r="O26" s="189"/>
      <c r="P26" s="189"/>
    </row>
    <row r="27" spans="1:16" ht="39.6" x14ac:dyDescent="0.25">
      <c r="A27" s="201"/>
      <c r="E27" s="190">
        <v>26</v>
      </c>
      <c r="F27" s="190"/>
      <c r="G27" s="186">
        <v>59980</v>
      </c>
      <c r="H27" s="199" t="s">
        <v>221</v>
      </c>
      <c r="I27" s="191"/>
      <c r="J27" s="212"/>
      <c r="M27" s="191" t="s">
        <v>222</v>
      </c>
      <c r="N27" s="191"/>
      <c r="O27" s="189"/>
      <c r="P27" s="189"/>
    </row>
    <row r="28" spans="1:16" ht="26.4" x14ac:dyDescent="0.25">
      <c r="A28" s="201"/>
      <c r="E28" s="190">
        <v>27</v>
      </c>
      <c r="F28" s="190"/>
      <c r="G28" s="186">
        <v>59979</v>
      </c>
      <c r="H28" s="199" t="s">
        <v>223</v>
      </c>
      <c r="I28" s="191"/>
      <c r="J28" s="212"/>
      <c r="M28" s="191" t="s">
        <v>224</v>
      </c>
      <c r="N28" s="191" t="s">
        <v>224</v>
      </c>
      <c r="O28" s="191" t="s">
        <v>218</v>
      </c>
      <c r="P28" s="191" t="s">
        <v>225</v>
      </c>
    </row>
    <row r="29" spans="1:16" x14ac:dyDescent="0.25">
      <c r="A29" s="201"/>
      <c r="E29" s="190">
        <v>28</v>
      </c>
      <c r="F29" s="190"/>
      <c r="G29" s="186">
        <v>59978</v>
      </c>
      <c r="H29" s="199" t="s">
        <v>226</v>
      </c>
      <c r="I29" s="191"/>
      <c r="J29" s="212"/>
      <c r="M29" s="191" t="s">
        <v>227</v>
      </c>
      <c r="N29" s="189"/>
      <c r="O29" s="189"/>
      <c r="P29" s="189"/>
    </row>
    <row r="30" spans="1:16" x14ac:dyDescent="0.25">
      <c r="A30" s="201"/>
      <c r="E30" s="190">
        <v>29</v>
      </c>
      <c r="F30" s="190"/>
      <c r="G30" s="186">
        <v>59977</v>
      </c>
      <c r="H30" s="199" t="s">
        <v>228</v>
      </c>
      <c r="I30" s="191"/>
      <c r="J30" s="212"/>
      <c r="M30" s="191" t="s">
        <v>212</v>
      </c>
      <c r="N30" s="189"/>
      <c r="O30" s="189"/>
      <c r="P30" s="189"/>
    </row>
    <row r="31" spans="1:16" x14ac:dyDescent="0.25">
      <c r="A31">
        <v>52</v>
      </c>
      <c r="B31">
        <v>5</v>
      </c>
      <c r="E31" s="186">
        <v>30</v>
      </c>
      <c r="F31" s="187" t="s">
        <v>202</v>
      </c>
      <c r="H31" s="197" t="s">
        <v>229</v>
      </c>
      <c r="I31" s="191"/>
      <c r="J31" s="211" t="s">
        <v>99</v>
      </c>
      <c r="M31" s="189"/>
      <c r="N31" s="189"/>
      <c r="O31" s="189"/>
      <c r="P31" s="189"/>
    </row>
    <row r="32" spans="1:16" x14ac:dyDescent="0.25">
      <c r="A32" s="201">
        <v>48</v>
      </c>
      <c r="B32">
        <v>4</v>
      </c>
      <c r="E32" s="200">
        <v>31</v>
      </c>
      <c r="F32" s="200" t="s">
        <v>202</v>
      </c>
      <c r="H32" s="199" t="s">
        <v>230</v>
      </c>
      <c r="I32" s="191"/>
      <c r="J32" s="212" t="s">
        <v>99</v>
      </c>
      <c r="M32" s="191"/>
      <c r="N32" s="191"/>
      <c r="O32" s="191"/>
      <c r="P32" s="189"/>
    </row>
    <row r="33" spans="1:23" x14ac:dyDescent="0.25">
      <c r="A33" s="201">
        <v>28</v>
      </c>
      <c r="B33">
        <v>3</v>
      </c>
      <c r="E33" s="186">
        <v>32</v>
      </c>
      <c r="F33" s="187" t="s">
        <v>202</v>
      </c>
      <c r="H33" s="199" t="s">
        <v>231</v>
      </c>
      <c r="I33" s="191"/>
      <c r="J33" s="211">
        <v>3</v>
      </c>
      <c r="M33" s="189"/>
      <c r="N33" s="189"/>
      <c r="O33" s="189"/>
      <c r="P33" s="189"/>
    </row>
    <row r="34" spans="1:23" x14ac:dyDescent="0.25">
      <c r="A34" s="201">
        <v>29</v>
      </c>
      <c r="B34">
        <v>3</v>
      </c>
      <c r="E34" s="186">
        <v>33</v>
      </c>
      <c r="F34" s="187" t="s">
        <v>202</v>
      </c>
      <c r="H34" s="199" t="s">
        <v>232</v>
      </c>
      <c r="J34" s="211" t="s">
        <v>402</v>
      </c>
      <c r="M34" s="189"/>
      <c r="N34" s="189"/>
      <c r="O34" s="189"/>
      <c r="P34" s="189"/>
    </row>
    <row r="35" spans="1:23" x14ac:dyDescent="0.25">
      <c r="A35" s="201">
        <v>28</v>
      </c>
      <c r="B35">
        <v>1</v>
      </c>
      <c r="E35" s="186">
        <v>34</v>
      </c>
      <c r="F35" s="187" t="s">
        <v>202</v>
      </c>
      <c r="H35" s="199" t="s">
        <v>233</v>
      </c>
      <c r="M35" s="189"/>
      <c r="N35" s="189"/>
      <c r="O35" s="189"/>
      <c r="P35" s="189"/>
    </row>
    <row r="36" spans="1:23" x14ac:dyDescent="0.25">
      <c r="E36" s="190">
        <v>35</v>
      </c>
      <c r="F36" s="190"/>
      <c r="H36" s="199" t="s">
        <v>234</v>
      </c>
      <c r="I36" s="191"/>
      <c r="J36" s="212"/>
      <c r="M36" s="189"/>
      <c r="N36" s="189"/>
      <c r="O36" s="189"/>
      <c r="P36" s="189"/>
    </row>
    <row r="37" spans="1:23" x14ac:dyDescent="0.25">
      <c r="A37" s="201"/>
      <c r="E37" s="190">
        <v>36</v>
      </c>
      <c r="F37" s="190"/>
      <c r="H37" s="199" t="s">
        <v>235</v>
      </c>
      <c r="I37" s="191"/>
      <c r="J37" s="212"/>
      <c r="M37" s="191" t="s">
        <v>279</v>
      </c>
      <c r="N37" s="189"/>
      <c r="O37" s="189"/>
      <c r="P37" s="189"/>
    </row>
    <row r="38" spans="1:23" x14ac:dyDescent="0.25">
      <c r="A38" s="201">
        <v>5</v>
      </c>
      <c r="B38">
        <v>3</v>
      </c>
      <c r="E38" s="186">
        <v>37</v>
      </c>
      <c r="F38" s="187" t="s">
        <v>202</v>
      </c>
      <c r="H38" s="199" t="s">
        <v>236</v>
      </c>
      <c r="I38" s="191"/>
      <c r="J38" s="211" t="s">
        <v>401</v>
      </c>
      <c r="M38" s="189"/>
      <c r="N38" s="189"/>
      <c r="O38" s="189"/>
      <c r="P38" s="189"/>
    </row>
    <row r="39" spans="1:23" x14ac:dyDescent="0.25">
      <c r="A39">
        <v>8</v>
      </c>
      <c r="B39">
        <v>4</v>
      </c>
      <c r="E39" s="186">
        <v>38</v>
      </c>
      <c r="F39" s="187" t="s">
        <v>202</v>
      </c>
      <c r="H39" s="197" t="s">
        <v>237</v>
      </c>
      <c r="J39" s="211" t="s">
        <v>2</v>
      </c>
      <c r="M39" s="189"/>
      <c r="N39" s="189"/>
      <c r="O39" s="189"/>
      <c r="P39" s="189"/>
    </row>
    <row r="40" spans="1:23" x14ac:dyDescent="0.25">
      <c r="E40" s="190">
        <v>39</v>
      </c>
      <c r="F40" s="190"/>
      <c r="H40" s="197" t="s">
        <v>240</v>
      </c>
      <c r="M40" s="188" t="s">
        <v>241</v>
      </c>
      <c r="N40" t="s">
        <v>241</v>
      </c>
      <c r="O40" t="s">
        <v>242</v>
      </c>
      <c r="P40" t="s">
        <v>243</v>
      </c>
      <c r="Q40" t="s">
        <v>244</v>
      </c>
      <c r="R40" t="s">
        <v>245</v>
      </c>
      <c r="S40" t="s">
        <v>246</v>
      </c>
      <c r="T40" t="s">
        <v>247</v>
      </c>
      <c r="U40" t="s">
        <v>248</v>
      </c>
      <c r="V40" t="s">
        <v>249</v>
      </c>
      <c r="W40" s="188" t="s">
        <v>250</v>
      </c>
    </row>
    <row r="41" spans="1:23" x14ac:dyDescent="0.25">
      <c r="A41">
        <v>49</v>
      </c>
      <c r="B41">
        <v>3</v>
      </c>
      <c r="E41" s="200">
        <v>40</v>
      </c>
      <c r="F41" s="187" t="s">
        <v>202</v>
      </c>
      <c r="H41" s="197" t="s">
        <v>257</v>
      </c>
      <c r="J41" s="211" t="s">
        <v>64</v>
      </c>
    </row>
    <row r="42" spans="1:23" x14ac:dyDescent="0.25">
      <c r="A42">
        <v>52</v>
      </c>
      <c r="B42">
        <v>3</v>
      </c>
      <c r="E42" s="200">
        <v>41</v>
      </c>
      <c r="F42" s="187" t="s">
        <v>202</v>
      </c>
      <c r="H42" s="197" t="s">
        <v>258</v>
      </c>
      <c r="J42" s="309" t="s">
        <v>373</v>
      </c>
    </row>
    <row r="43" spans="1:23" x14ac:dyDescent="0.25">
      <c r="A43" s="201">
        <v>50</v>
      </c>
      <c r="B43">
        <v>3</v>
      </c>
      <c r="E43" s="200">
        <v>42</v>
      </c>
      <c r="F43" s="186" t="s">
        <v>202</v>
      </c>
      <c r="H43" s="197" t="s">
        <v>259</v>
      </c>
      <c r="J43" s="211">
        <v>5</v>
      </c>
    </row>
    <row r="44" spans="1:23" x14ac:dyDescent="0.25">
      <c r="A44" s="201">
        <v>50</v>
      </c>
      <c r="B44">
        <v>5</v>
      </c>
      <c r="E44" s="200">
        <v>43</v>
      </c>
      <c r="F44" s="186" t="s">
        <v>202</v>
      </c>
      <c r="H44" s="197" t="s">
        <v>260</v>
      </c>
      <c r="J44" s="211">
        <v>5</v>
      </c>
    </row>
    <row r="45" spans="1:23" x14ac:dyDescent="0.25">
      <c r="A45">
        <v>51</v>
      </c>
      <c r="B45">
        <v>3</v>
      </c>
      <c r="E45" s="200">
        <v>44</v>
      </c>
      <c r="F45" s="186" t="s">
        <v>202</v>
      </c>
      <c r="H45" s="197" t="s">
        <v>261</v>
      </c>
      <c r="J45" s="211" t="s">
        <v>99</v>
      </c>
    </row>
    <row r="46" spans="1:23" x14ac:dyDescent="0.25">
      <c r="A46" s="201"/>
      <c r="E46" s="190">
        <v>45</v>
      </c>
      <c r="F46" s="190"/>
      <c r="H46" s="199" t="s">
        <v>262</v>
      </c>
      <c r="J46" s="212"/>
    </row>
    <row r="47" spans="1:23" x14ac:dyDescent="0.25">
      <c r="A47" s="201"/>
      <c r="E47" s="190">
        <v>46</v>
      </c>
      <c r="F47" s="190"/>
      <c r="H47" s="199" t="s">
        <v>263</v>
      </c>
      <c r="J47" s="212"/>
      <c r="M47" t="s">
        <v>264</v>
      </c>
      <c r="N47" t="s">
        <v>264</v>
      </c>
      <c r="O47" t="s">
        <v>265</v>
      </c>
    </row>
    <row r="48" spans="1:23" x14ac:dyDescent="0.25">
      <c r="A48" s="201"/>
      <c r="E48" s="190">
        <v>47</v>
      </c>
      <c r="F48" s="190"/>
      <c r="G48" s="186">
        <v>40010</v>
      </c>
      <c r="H48" s="199" t="s">
        <v>266</v>
      </c>
      <c r="J48" s="212"/>
    </row>
    <row r="49" spans="1:23" x14ac:dyDescent="0.25">
      <c r="A49" s="201"/>
      <c r="E49" s="190">
        <v>48</v>
      </c>
      <c r="F49" s="190"/>
      <c r="G49" s="186">
        <v>40010</v>
      </c>
      <c r="H49" s="199" t="s">
        <v>267</v>
      </c>
      <c r="J49" s="212"/>
    </row>
    <row r="50" spans="1:23" x14ac:dyDescent="0.25">
      <c r="A50" s="201"/>
      <c r="E50" s="190">
        <v>49</v>
      </c>
      <c r="F50" s="190"/>
      <c r="H50" s="199" t="s">
        <v>268</v>
      </c>
      <c r="J50" s="212"/>
      <c r="L50" s="219"/>
      <c r="N50" t="s">
        <v>269</v>
      </c>
      <c r="O50" t="s">
        <v>270</v>
      </c>
      <c r="P50" t="s">
        <v>271</v>
      </c>
      <c r="Q50" t="s">
        <v>272</v>
      </c>
      <c r="R50" t="s">
        <v>273</v>
      </c>
    </row>
    <row r="51" spans="1:23" x14ac:dyDescent="0.25">
      <c r="A51" s="202"/>
      <c r="E51" s="190">
        <v>50</v>
      </c>
      <c r="F51" s="190"/>
      <c r="H51" s="197" t="s">
        <v>274</v>
      </c>
      <c r="J51" s="212"/>
      <c r="L51" s="219"/>
      <c r="N51" s="218" t="s">
        <v>312</v>
      </c>
      <c r="O51" s="218" t="s">
        <v>313</v>
      </c>
      <c r="P51" s="218" t="s">
        <v>314</v>
      </c>
      <c r="Q51" s="218" t="s">
        <v>315</v>
      </c>
      <c r="R51" s="218" t="s">
        <v>316</v>
      </c>
      <c r="S51" s="218" t="s">
        <v>332</v>
      </c>
      <c r="T51" s="218" t="s">
        <v>333</v>
      </c>
      <c r="U51" s="218" t="s">
        <v>317</v>
      </c>
      <c r="V51" s="218" t="s">
        <v>318</v>
      </c>
      <c r="W51" s="220" t="s">
        <v>325</v>
      </c>
    </row>
    <row r="52" spans="1:23" x14ac:dyDescent="0.25">
      <c r="A52" s="202"/>
      <c r="E52" s="190">
        <v>51</v>
      </c>
      <c r="F52" s="190"/>
      <c r="H52" s="197" t="s">
        <v>275</v>
      </c>
      <c r="J52" s="212"/>
      <c r="M52" s="188" t="s">
        <v>341</v>
      </c>
      <c r="N52" s="188" t="s">
        <v>341</v>
      </c>
      <c r="O52" s="188" t="s">
        <v>342</v>
      </c>
    </row>
    <row r="53" spans="1:23" x14ac:dyDescent="0.25">
      <c r="A53" s="202">
        <v>54</v>
      </c>
      <c r="B53">
        <v>3</v>
      </c>
      <c r="E53" s="200">
        <v>52</v>
      </c>
      <c r="F53" s="200" t="s">
        <v>202</v>
      </c>
      <c r="H53" s="197" t="s">
        <v>259</v>
      </c>
      <c r="J53" s="211">
        <v>3</v>
      </c>
    </row>
    <row r="54" spans="1:23" x14ac:dyDescent="0.25">
      <c r="A54" s="202">
        <v>54</v>
      </c>
      <c r="B54">
        <v>5</v>
      </c>
      <c r="E54" s="200">
        <v>53</v>
      </c>
      <c r="F54" s="200" t="s">
        <v>202</v>
      </c>
      <c r="H54" s="197" t="s">
        <v>260</v>
      </c>
      <c r="J54" s="211">
        <v>3</v>
      </c>
    </row>
    <row r="55" spans="1:23" x14ac:dyDescent="0.25">
      <c r="A55">
        <v>9</v>
      </c>
      <c r="B55">
        <v>4</v>
      </c>
      <c r="E55" s="200">
        <v>54</v>
      </c>
      <c r="F55" s="186" t="s">
        <v>202</v>
      </c>
      <c r="G55" s="186">
        <v>59994</v>
      </c>
      <c r="H55" s="199" t="s">
        <v>280</v>
      </c>
      <c r="J55" s="211" t="s">
        <v>139</v>
      </c>
      <c r="M55" s="188"/>
    </row>
    <row r="56" spans="1:23" x14ac:dyDescent="0.25">
      <c r="E56" s="190">
        <v>55</v>
      </c>
      <c r="F56" s="190"/>
      <c r="G56" s="186">
        <v>59990</v>
      </c>
      <c r="H56" s="199" t="s">
        <v>282</v>
      </c>
      <c r="J56" s="212"/>
      <c r="M56" s="188" t="s">
        <v>289</v>
      </c>
      <c r="N56" s="188" t="s">
        <v>289</v>
      </c>
      <c r="O56" s="188" t="s">
        <v>291</v>
      </c>
    </row>
    <row r="57" spans="1:23" x14ac:dyDescent="0.25">
      <c r="E57" s="190">
        <v>56</v>
      </c>
      <c r="F57" s="190"/>
      <c r="G57" s="186">
        <v>59989</v>
      </c>
      <c r="H57" s="199" t="s">
        <v>283</v>
      </c>
      <c r="J57" s="212"/>
      <c r="L57" s="214"/>
      <c r="M57" s="188" t="s">
        <v>287</v>
      </c>
      <c r="N57" s="188" t="s">
        <v>287</v>
      </c>
      <c r="O57" s="188" t="s">
        <v>292</v>
      </c>
      <c r="P57" s="188" t="s">
        <v>293</v>
      </c>
      <c r="Q57" s="188" t="s">
        <v>294</v>
      </c>
    </row>
    <row r="58" spans="1:23" x14ac:dyDescent="0.25">
      <c r="E58" s="190">
        <v>57</v>
      </c>
      <c r="F58" s="190"/>
      <c r="G58" s="186">
        <v>59987</v>
      </c>
      <c r="H58" s="199" t="s">
        <v>284</v>
      </c>
      <c r="J58" s="212"/>
      <c r="M58" s="188" t="s">
        <v>288</v>
      </c>
      <c r="N58" s="188" t="s">
        <v>288</v>
      </c>
      <c r="O58" s="188" t="s">
        <v>210</v>
      </c>
      <c r="P58" s="188" t="s">
        <v>161</v>
      </c>
    </row>
    <row r="59" spans="1:23" x14ac:dyDescent="0.25">
      <c r="E59" s="190">
        <v>58</v>
      </c>
      <c r="F59" s="190"/>
      <c r="H59" s="197" t="s">
        <v>285</v>
      </c>
      <c r="J59" s="212"/>
      <c r="M59" s="188" t="s">
        <v>100</v>
      </c>
      <c r="N59" s="188" t="s">
        <v>290</v>
      </c>
      <c r="O59" s="188" t="s">
        <v>100</v>
      </c>
    </row>
    <row r="60" spans="1:23" x14ac:dyDescent="0.25">
      <c r="E60" s="190">
        <v>59</v>
      </c>
      <c r="F60" s="190"/>
      <c r="H60" s="199" t="s">
        <v>286</v>
      </c>
      <c r="J60" s="212"/>
    </row>
    <row r="61" spans="1:23" x14ac:dyDescent="0.25">
      <c r="A61">
        <v>58</v>
      </c>
      <c r="B61">
        <v>3</v>
      </c>
      <c r="E61" s="200">
        <v>60</v>
      </c>
      <c r="F61" s="187" t="s">
        <v>202</v>
      </c>
      <c r="H61" s="205" t="s">
        <v>295</v>
      </c>
      <c r="J61" s="211" t="s">
        <v>100</v>
      </c>
    </row>
    <row r="62" spans="1:23" x14ac:dyDescent="0.25">
      <c r="E62" s="190">
        <v>61</v>
      </c>
      <c r="F62" s="190"/>
      <c r="H62" s="197" t="s">
        <v>302</v>
      </c>
      <c r="J62" s="212"/>
      <c r="M62" s="188" t="s">
        <v>305</v>
      </c>
      <c r="N62" s="188" t="s">
        <v>305</v>
      </c>
      <c r="O62" s="188" t="s">
        <v>304</v>
      </c>
      <c r="P62" s="188" t="s">
        <v>303</v>
      </c>
      <c r="Q62" s="188" t="s">
        <v>306</v>
      </c>
    </row>
    <row r="63" spans="1:23" x14ac:dyDescent="0.25">
      <c r="A63">
        <v>27</v>
      </c>
      <c r="B63">
        <v>3</v>
      </c>
      <c r="E63" s="200">
        <v>62</v>
      </c>
      <c r="F63" s="186" t="s">
        <v>202</v>
      </c>
      <c r="H63" s="197" t="s">
        <v>58</v>
      </c>
      <c r="J63" s="211" t="s">
        <v>356</v>
      </c>
    </row>
    <row r="64" spans="1:23" x14ac:dyDescent="0.25">
      <c r="E64" s="190">
        <v>63</v>
      </c>
      <c r="F64" s="190"/>
      <c r="H64" s="197" t="s">
        <v>321</v>
      </c>
    </row>
    <row r="65" spans="1:15" x14ac:dyDescent="0.25">
      <c r="E65" s="190">
        <v>64</v>
      </c>
      <c r="F65" s="190"/>
      <c r="H65" s="197" t="s">
        <v>322</v>
      </c>
    </row>
    <row r="66" spans="1:15" x14ac:dyDescent="0.25">
      <c r="E66" s="190">
        <v>65</v>
      </c>
      <c r="F66" s="190"/>
      <c r="H66" s="197" t="s">
        <v>323</v>
      </c>
      <c r="I66" s="189" t="s">
        <v>324</v>
      </c>
    </row>
    <row r="67" spans="1:15" x14ac:dyDescent="0.25">
      <c r="E67" s="190">
        <v>66</v>
      </c>
      <c r="F67" s="190"/>
      <c r="H67" s="197" t="s">
        <v>326</v>
      </c>
      <c r="N67" t="s">
        <v>327</v>
      </c>
      <c r="O67" t="s">
        <v>328</v>
      </c>
    </row>
    <row r="68" spans="1:15" x14ac:dyDescent="0.25">
      <c r="A68" s="188">
        <v>8</v>
      </c>
      <c r="B68" s="188">
        <v>3</v>
      </c>
      <c r="E68" s="200">
        <v>67</v>
      </c>
      <c r="F68" s="186" t="s">
        <v>202</v>
      </c>
      <c r="H68" s="197" t="s">
        <v>329</v>
      </c>
      <c r="J68" s="211" t="s">
        <v>369</v>
      </c>
    </row>
    <row r="69" spans="1:15" x14ac:dyDescent="0.25">
      <c r="E69" s="190">
        <v>68</v>
      </c>
      <c r="F69" s="190"/>
      <c r="H69" s="197" t="s">
        <v>330</v>
      </c>
    </row>
    <row r="70" spans="1:15" x14ac:dyDescent="0.25">
      <c r="E70" s="190">
        <v>69</v>
      </c>
      <c r="F70" s="190"/>
      <c r="H70" s="197" t="s">
        <v>331</v>
      </c>
    </row>
    <row r="71" spans="1:15" x14ac:dyDescent="0.25">
      <c r="E71" s="190">
        <v>70</v>
      </c>
      <c r="F71" s="190"/>
      <c r="H71" s="197" t="s">
        <v>336</v>
      </c>
    </row>
    <row r="72" spans="1:15" x14ac:dyDescent="0.25">
      <c r="E72" s="190">
        <v>71</v>
      </c>
      <c r="F72" s="190"/>
      <c r="H72" s="197" t="s">
        <v>337</v>
      </c>
    </row>
    <row r="73" spans="1:15" x14ac:dyDescent="0.25">
      <c r="E73" s="190">
        <v>72</v>
      </c>
      <c r="F73" s="190"/>
      <c r="H73" s="197" t="s">
        <v>338</v>
      </c>
    </row>
    <row r="74" spans="1:15" x14ac:dyDescent="0.25">
      <c r="E74" s="190">
        <v>73</v>
      </c>
      <c r="F74" s="190"/>
      <c r="H74" s="197" t="s">
        <v>339</v>
      </c>
    </row>
    <row r="75" spans="1:15" x14ac:dyDescent="0.25">
      <c r="E75" s="190">
        <v>74</v>
      </c>
      <c r="F75" s="190"/>
      <c r="H75" s="197" t="s">
        <v>340</v>
      </c>
      <c r="J75" s="221" t="s">
        <v>399</v>
      </c>
    </row>
    <row r="76" spans="1:15" x14ac:dyDescent="0.25">
      <c r="A76">
        <v>30</v>
      </c>
      <c r="B76">
        <v>4</v>
      </c>
      <c r="E76" s="190">
        <v>75</v>
      </c>
      <c r="G76" s="186">
        <v>59993</v>
      </c>
      <c r="H76" s="199" t="s">
        <v>175</v>
      </c>
      <c r="J76" s="211">
        <v>-30</v>
      </c>
    </row>
    <row r="77" spans="1:15" x14ac:dyDescent="0.25">
      <c r="E77" s="190">
        <v>76</v>
      </c>
      <c r="H77" s="319" t="s">
        <v>384</v>
      </c>
    </row>
    <row r="78" spans="1:15" x14ac:dyDescent="0.25">
      <c r="E78" s="190">
        <v>77</v>
      </c>
      <c r="H78" s="319" t="s">
        <v>385</v>
      </c>
    </row>
    <row r="79" spans="1:15" x14ac:dyDescent="0.25">
      <c r="A79">
        <v>25</v>
      </c>
      <c r="B79">
        <v>3</v>
      </c>
      <c r="E79" s="190">
        <v>78</v>
      </c>
      <c r="H79" s="199" t="s">
        <v>383</v>
      </c>
      <c r="I79" s="331"/>
      <c r="J79" s="211" t="s">
        <v>54</v>
      </c>
    </row>
    <row r="80" spans="1:15" x14ac:dyDescent="0.25">
      <c r="E80" s="190">
        <v>79</v>
      </c>
    </row>
    <row r="81" spans="5:5" x14ac:dyDescent="0.25">
      <c r="E81" s="190">
        <v>80</v>
      </c>
    </row>
    <row r="82" spans="5:5" x14ac:dyDescent="0.25">
      <c r="E82" s="190">
        <v>81</v>
      </c>
    </row>
    <row r="83" spans="5:5" x14ac:dyDescent="0.25">
      <c r="E83" s="190">
        <v>82</v>
      </c>
    </row>
    <row r="84" spans="5:5" x14ac:dyDescent="0.25">
      <c r="E84" s="190">
        <v>83</v>
      </c>
    </row>
    <row r="85" spans="5:5" x14ac:dyDescent="0.25">
      <c r="E85" s="190">
        <v>84</v>
      </c>
    </row>
    <row r="86" spans="5:5" x14ac:dyDescent="0.25">
      <c r="E86" s="190">
        <v>85</v>
      </c>
    </row>
    <row r="87" spans="5:5" x14ac:dyDescent="0.25">
      <c r="E87" s="190">
        <v>86</v>
      </c>
    </row>
    <row r="88" spans="5:5" x14ac:dyDescent="0.25">
      <c r="E88" s="190">
        <v>87</v>
      </c>
    </row>
    <row r="89" spans="5:5" x14ac:dyDescent="0.25">
      <c r="E89" s="190">
        <v>88</v>
      </c>
    </row>
    <row r="90" spans="5:5" x14ac:dyDescent="0.25">
      <c r="E90" s="190">
        <v>89</v>
      </c>
    </row>
    <row r="91" spans="5:5" x14ac:dyDescent="0.25">
      <c r="E91" s="190">
        <v>90</v>
      </c>
    </row>
    <row r="92" spans="5:5" x14ac:dyDescent="0.25">
      <c r="E92" s="190">
        <v>91</v>
      </c>
    </row>
    <row r="93" spans="5:5" x14ac:dyDescent="0.25">
      <c r="E93" s="190">
        <v>92</v>
      </c>
    </row>
    <row r="94" spans="5:5" x14ac:dyDescent="0.25">
      <c r="E94" s="190">
        <v>93</v>
      </c>
    </row>
    <row r="95" spans="5:5" x14ac:dyDescent="0.25">
      <c r="E95" s="190">
        <v>94</v>
      </c>
    </row>
    <row r="96" spans="5:5" x14ac:dyDescent="0.25">
      <c r="E96" s="190">
        <v>95</v>
      </c>
    </row>
    <row r="97" spans="5:5" x14ac:dyDescent="0.25">
      <c r="E97" s="190">
        <v>96</v>
      </c>
    </row>
    <row r="98" spans="5:5" x14ac:dyDescent="0.25">
      <c r="E98" s="190">
        <v>97</v>
      </c>
    </row>
    <row r="99" spans="5:5" x14ac:dyDescent="0.25">
      <c r="E99" s="190">
        <v>98</v>
      </c>
    </row>
    <row r="100" spans="5:5" x14ac:dyDescent="0.25">
      <c r="E100" s="190">
        <v>99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3"/>
  <dimension ref="A1:V19"/>
  <sheetViews>
    <sheetView workbookViewId="0">
      <pane ySplit="1" topLeftCell="A2" activePane="bottomLeft" state="frozen"/>
      <selection pane="bottomLeft" activeCell="B17" sqref="B17"/>
    </sheetView>
  </sheetViews>
  <sheetFormatPr defaultRowHeight="13.2" x14ac:dyDescent="0.25"/>
  <cols>
    <col min="1" max="1" width="36.109375" style="206" customWidth="1"/>
    <col min="2" max="2" width="72.109375" customWidth="1"/>
    <col min="3" max="3" width="55.109375" style="207" customWidth="1"/>
  </cols>
  <sheetData>
    <row r="1" spans="1:22" s="192" customFormat="1" ht="18" x14ac:dyDescent="0.35">
      <c r="A1" s="192" t="s">
        <v>195</v>
      </c>
      <c r="B1" s="192" t="s">
        <v>197</v>
      </c>
      <c r="C1" s="192" t="s">
        <v>196</v>
      </c>
      <c r="E1" s="193"/>
      <c r="F1" s="193"/>
      <c r="G1" s="193"/>
      <c r="H1" s="194"/>
      <c r="I1" s="195"/>
      <c r="J1" s="196"/>
      <c r="K1" s="194"/>
      <c r="L1" s="194"/>
      <c r="M1" s="195"/>
      <c r="N1" s="195"/>
      <c r="O1" s="195"/>
      <c r="P1" s="195"/>
      <c r="Q1" s="195"/>
      <c r="R1" s="195"/>
      <c r="S1" s="195"/>
      <c r="T1" s="195"/>
      <c r="U1" s="195"/>
      <c r="V1" s="195"/>
    </row>
    <row r="2" spans="1:22" x14ac:dyDescent="0.25">
      <c r="A2" s="206" t="s">
        <v>296</v>
      </c>
      <c r="B2" s="188" t="s">
        <v>388</v>
      </c>
      <c r="C2" s="207" t="s">
        <v>298</v>
      </c>
    </row>
    <row r="3" spans="1:22" x14ac:dyDescent="0.25">
      <c r="A3" s="206" t="s">
        <v>297</v>
      </c>
      <c r="B3" s="188" t="s">
        <v>405</v>
      </c>
      <c r="C3" s="207" t="s">
        <v>299</v>
      </c>
    </row>
    <row r="4" spans="1:22" x14ac:dyDescent="0.25">
      <c r="A4" s="206" t="s">
        <v>300</v>
      </c>
      <c r="B4" s="188" t="s">
        <v>389</v>
      </c>
      <c r="C4" s="207" t="s">
        <v>301</v>
      </c>
    </row>
    <row r="5" spans="1:22" x14ac:dyDescent="0.25">
      <c r="A5" s="206" t="s">
        <v>334</v>
      </c>
      <c r="B5" s="188" t="s">
        <v>398</v>
      </c>
      <c r="C5" s="207" t="s">
        <v>335</v>
      </c>
    </row>
    <row r="6" spans="1:22" x14ac:dyDescent="0.25">
      <c r="A6" s="206" t="s">
        <v>307</v>
      </c>
      <c r="B6" s="188" t="s">
        <v>308</v>
      </c>
      <c r="C6" s="207" t="s">
        <v>309</v>
      </c>
    </row>
    <row r="7" spans="1:22" x14ac:dyDescent="0.25">
      <c r="A7" s="206" t="s">
        <v>395</v>
      </c>
      <c r="B7" t="s">
        <v>397</v>
      </c>
      <c r="C7" s="207" t="s">
        <v>396</v>
      </c>
    </row>
    <row r="10" spans="1:22" x14ac:dyDescent="0.25">
      <c r="B10" s="222"/>
    </row>
    <row r="14" spans="1:22" x14ac:dyDescent="0.25">
      <c r="B14" s="222"/>
      <c r="C14" s="326"/>
    </row>
    <row r="17" spans="2:2" x14ac:dyDescent="0.25">
      <c r="B17" s="188"/>
    </row>
    <row r="19" spans="2:2" x14ac:dyDescent="0.25">
      <c r="B19" s="222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Nintex conditional workflow start</Name>
    <Synchronization>Synchronous</Synchronization>
    <Type>10001</Type>
    <SequenceNumber>50000</SequenceNumber>
    <Assembly>Nintex.Workflow, Version=1.0.0.0, Culture=neutral, PublicKeyToken=913f6bae0ca5ae12</Assembly>
    <Class>Nintex.Workflow.ConditionalWorkflowStartReceiver</Class>
    <Data>6/27/2012 6:35:06 PM</Data>
    <Filter/>
  </Receiver>
  <Receiver>
    <Name>Nintex conditional workflow start</Name>
    <Synchronization>Synchronous</Synchronization>
    <Type>10002</Type>
    <SequenceNumber>50000</SequenceNumber>
    <Assembly>Nintex.Workflow, Version=1.0.0.0, Culture=neutral, PublicKeyToken=913f6bae0ca5ae12</Assembly>
    <Class>Nintex.Workflow.ConditionalWorkflowStartReceiver</Class>
    <Data>6/27/2012 6:35:06 PM</Data>
    <Filter/>
  </Receiver>
  <Receiver>
    <Name>Nintex conditional workflow start</Name>
    <Synchronization>Synchronous</Synchronization>
    <Type>2</Type>
    <SequenceNumber>50000</SequenceNumber>
    <Assembly>Nintex.Workflow, Version=1.0.0.0, Culture=neutral, PublicKeyToken=913f6bae0ca5ae12</Assembly>
    <Class>Nintex.Workflow.ConditionalWorkflowStartReceiver</Class>
    <Data>6/27/2012 6:35:06 PM</Data>
    <Filter/>
  </Receiver>
  <Receiver>
    <Name>Nintex conditional workflow start</Name>
    <Synchronization>Synchronous</Synchronization>
    <Type>10004</Type>
    <SequenceNumber>50000</SequenceNumber>
    <Assembly>Nintex.Workflow, Version=1.0.0.0, Culture=neutral, PublicKeyToken=913f6bae0ca5ae12</Assembly>
    <Class>Nintex.Workflow.ConditionalWorkflowStartReceiver</Class>
    <Data>6/27/2012 6:35:06 PM</Data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echnicalPresence1 xmlns="553a81bd-e402-499f-a4a8-3ba050b3f39f">NO</TechnicalPresence1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Technical checklist" ma:contentTypeID="0x0101005C9BAE92E97A824ABD021E5CC69E69930073B8775C707F0D48ABBCE69976EC66FE" ma:contentTypeVersion="0" ma:contentTypeDescription="" ma:contentTypeScope="" ma:versionID="ac3b4a585d626360d96fcc4b05158b8a">
  <xsd:schema xmlns:xsd="http://www.w3.org/2001/XMLSchema" xmlns:xs="http://www.w3.org/2001/XMLSchema" xmlns:p="http://schemas.microsoft.com/office/2006/metadata/properties" xmlns:ns2="553a81bd-e402-499f-a4a8-3ba050b3f39f" targetNamespace="http://schemas.microsoft.com/office/2006/metadata/properties" ma:root="true" ma:fieldsID="be09fc0622817b1efd62ba93482d4386" ns2:_="">
    <xsd:import namespace="553a81bd-e402-499f-a4a8-3ba050b3f39f"/>
    <xsd:element name="properties">
      <xsd:complexType>
        <xsd:sequence>
          <xsd:element name="documentManagement">
            <xsd:complexType>
              <xsd:all>
                <xsd:element ref="ns2:TechnicalPresence1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3a81bd-e402-499f-a4a8-3ba050b3f39f" elementFormDefault="qualified">
    <xsd:import namespace="http://schemas.microsoft.com/office/2006/documentManagement/types"/>
    <xsd:import namespace="http://schemas.microsoft.com/office/infopath/2007/PartnerControls"/>
    <xsd:element name="TechnicalPresence1" ma:index="8" ma:displayName="Technical presence" ma:format="Dropdown" ma:internalName="TechnicalPresence1" ma:readOnly="false">
      <xsd:simpleType>
        <xsd:restriction base="dms:Choice">
          <xsd:enumeration value="YES"/>
          <xsd:enumeration value="NO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FAF121C-3F82-4DEC-AF18-338DDED50D86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4C5DB240-9A51-4152-95EC-4391C5D82BD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C3C9C87-06EF-4308-8B9E-7A2F3D2C0953}">
  <ds:schemaRefs>
    <ds:schemaRef ds:uri="bb5265bd-523a-482f-8a13-aca40b001931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purl.org/dc/terms/"/>
    <ds:schemaRef ds:uri="ae9d13d1-0514-4a7f-882c-61d3acc8db42"/>
    <ds:schemaRef ds:uri="http://www.w3.org/XML/1998/namespace"/>
    <ds:schemaRef ds:uri="http://purl.org/dc/elements/1.1/"/>
    <ds:schemaRef ds:uri="553a81bd-e402-499f-a4a8-3ba050b3f39f"/>
  </ds:schemaRefs>
</ds:datastoreItem>
</file>

<file path=customXml/itemProps4.xml><?xml version="1.0" encoding="utf-8"?>
<ds:datastoreItem xmlns:ds="http://schemas.openxmlformats.org/officeDocument/2006/customXml" ds:itemID="{150FEEDC-885F-4A33-8451-1AD49FA5E51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53a81bd-e402-499f-a4a8-3ba050b3f39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Nuova TCL PASS</vt:lpstr>
      <vt:lpstr>Datasheet</vt:lpstr>
      <vt:lpstr>-</vt:lpstr>
      <vt:lpstr>Proprietà</vt:lpstr>
      <vt:lpstr>Impostazioni</vt:lpstr>
      <vt:lpstr>'Nuova TCL PASS'!Print_Area</vt:lpstr>
    </vt:vector>
  </TitlesOfParts>
  <Company>ABB ADDA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BALALB</dc:creator>
  <cp:lastModifiedBy>Prabu Sundaram</cp:lastModifiedBy>
  <cp:lastPrinted>2021-06-18T09:18:21Z</cp:lastPrinted>
  <dcterms:created xsi:type="dcterms:W3CDTF">2001-05-09T16:19:23Z</dcterms:created>
  <dcterms:modified xsi:type="dcterms:W3CDTF">2021-06-22T09:11:47Z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0x0101005C9BAE92E97A824ABD021E5CC69E69930073B8775C707F0D48ABBCE69976EC66FE</vt:lpwstr>
  </property>
</Properties>
</file>